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test_folder\DB_VaR\"/>
    </mc:Choice>
  </mc:AlternateContent>
  <xr:revisionPtr revIDLastSave="0" documentId="13_ncr:1_{99CAB025-D1BF-48AB-96C0-A14C3D9FC90E}" xr6:coauthVersionLast="36" xr6:coauthVersionMax="36" xr10:uidLastSave="{00000000-0000-0000-0000-000000000000}"/>
  <bookViews>
    <workbookView xWindow="0" yWindow="0" windowWidth="21570" windowHeight="6045" xr2:uid="{850FD8BC-4042-45E3-8E4C-D152F0386D26}"/>
  </bookViews>
  <sheets>
    <sheet name="Controls" sheetId="2" r:id="rId1"/>
    <sheet name="Weights" sheetId="1" r:id="rId2"/>
    <sheet name="PrePa" sheetId="3" r:id="rId3"/>
  </sheets>
  <functionGroups builtInGroupCount="19">
    <functionGroup name="xlwings"/>
  </functionGroups>
  <externalReferences>
    <externalReference r:id="rId4"/>
    <externalReference r:id="rId5"/>
  </externalReferences>
  <definedNames>
    <definedName name="_xlnm._FilterDatabase" localSheetId="2" hidden="1">PrePa!$A$1:$F$85</definedName>
  </definedNames>
  <calcPr calcId="191029"/>
  <extLst>
    <ext xmlns:x14="http://schemas.microsoft.com/office/spreadsheetml/2009/9/main" uri="{8193D73E-4604-4355-AFF4-8A2333D13BE4}">
      <x14:definedNames>
        <x14:definedName name="simulate_iVaR_fromfi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imulate_iVaR_stati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4" i="3" l="1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F3" i="3" a="1"/>
  <c r="F14" i="3" l="1"/>
  <c r="F26" i="3"/>
  <c r="F38" i="3"/>
  <c r="F50" i="3"/>
  <c r="F62" i="3"/>
  <c r="F74" i="3"/>
  <c r="F41" i="3"/>
  <c r="F18" i="3"/>
  <c r="F42" i="3"/>
  <c r="F66" i="3"/>
  <c r="F19" i="3"/>
  <c r="F43" i="3"/>
  <c r="F32" i="3"/>
  <c r="F56" i="3"/>
  <c r="F21" i="3"/>
  <c r="F57" i="3"/>
  <c r="F81" i="3"/>
  <c r="F10" i="3"/>
  <c r="F58" i="3"/>
  <c r="F11" i="3"/>
  <c r="F47" i="3"/>
  <c r="F83" i="3"/>
  <c r="F12" i="3"/>
  <c r="F72" i="3"/>
  <c r="F13" i="3"/>
  <c r="F61" i="3"/>
  <c r="F3" i="3"/>
  <c r="F15" i="3"/>
  <c r="F27" i="3"/>
  <c r="F39" i="3"/>
  <c r="F51" i="3"/>
  <c r="F63" i="3"/>
  <c r="F75" i="3"/>
  <c r="F17" i="3"/>
  <c r="F53" i="3"/>
  <c r="F6" i="3"/>
  <c r="F54" i="3"/>
  <c r="F78" i="3"/>
  <c r="F7" i="3"/>
  <c r="F67" i="3"/>
  <c r="F8" i="3"/>
  <c r="F68" i="3"/>
  <c r="F45" i="3"/>
  <c r="F46" i="3"/>
  <c r="F35" i="3"/>
  <c r="F48" i="3"/>
  <c r="F49" i="3"/>
  <c r="F4" i="3"/>
  <c r="F16" i="3"/>
  <c r="F28" i="3"/>
  <c r="F40" i="3"/>
  <c r="F52" i="3"/>
  <c r="F64" i="3"/>
  <c r="F76" i="3"/>
  <c r="F29" i="3"/>
  <c r="F77" i="3"/>
  <c r="F30" i="3"/>
  <c r="F55" i="3"/>
  <c r="F44" i="3"/>
  <c r="F33" i="3"/>
  <c r="F34" i="3"/>
  <c r="F82" i="3"/>
  <c r="F71" i="3"/>
  <c r="F24" i="3"/>
  <c r="F84" i="3"/>
  <c r="F37" i="3"/>
  <c r="F5" i="3"/>
  <c r="F65" i="3"/>
  <c r="F31" i="3"/>
  <c r="F79" i="3"/>
  <c r="F20" i="3"/>
  <c r="F80" i="3"/>
  <c r="F9" i="3"/>
  <c r="F69" i="3"/>
  <c r="F22" i="3"/>
  <c r="F70" i="3"/>
  <c r="F23" i="3"/>
  <c r="F59" i="3"/>
  <c r="F36" i="3"/>
  <c r="F60" i="3"/>
  <c r="F25" i="3"/>
  <c r="F73" i="3"/>
  <c r="G85" i="1"/>
  <c r="B1" i="2"/>
  <c r="G3" i="1" a="1"/>
  <c r="F3" i="1" a="1"/>
  <c r="F85" i="3" l="1"/>
  <c r="G14" i="1"/>
  <c r="G26" i="1"/>
  <c r="G38" i="1"/>
  <c r="G50" i="1"/>
  <c r="G62" i="1"/>
  <c r="G74" i="1"/>
  <c r="G21" i="1"/>
  <c r="G57" i="1"/>
  <c r="G81" i="1"/>
  <c r="G10" i="1"/>
  <c r="G34" i="1"/>
  <c r="G58" i="1"/>
  <c r="G82" i="1"/>
  <c r="G11" i="1"/>
  <c r="G47" i="1"/>
  <c r="G59" i="1"/>
  <c r="G71" i="1"/>
  <c r="G12" i="1"/>
  <c r="G36" i="1"/>
  <c r="G72" i="1"/>
  <c r="G13" i="1"/>
  <c r="G25" i="1"/>
  <c r="G49" i="1"/>
  <c r="G73" i="1"/>
  <c r="G3" i="1"/>
  <c r="G15" i="1"/>
  <c r="G27" i="1"/>
  <c r="G39" i="1"/>
  <c r="G51" i="1"/>
  <c r="G63" i="1"/>
  <c r="G75" i="1"/>
  <c r="G4" i="1"/>
  <c r="G16" i="1"/>
  <c r="G28" i="1"/>
  <c r="G40" i="1"/>
  <c r="G52" i="1"/>
  <c r="G64" i="1"/>
  <c r="G76" i="1"/>
  <c r="G5" i="1"/>
  <c r="G17" i="1"/>
  <c r="G29" i="1"/>
  <c r="G41" i="1"/>
  <c r="G53" i="1"/>
  <c r="G65" i="1"/>
  <c r="G77" i="1"/>
  <c r="G6" i="1"/>
  <c r="G18" i="1"/>
  <c r="G30" i="1"/>
  <c r="G42" i="1"/>
  <c r="G54" i="1"/>
  <c r="G66" i="1"/>
  <c r="G78" i="1"/>
  <c r="G7" i="1"/>
  <c r="G19" i="1"/>
  <c r="G31" i="1"/>
  <c r="G43" i="1"/>
  <c r="G55" i="1"/>
  <c r="G67" i="1"/>
  <c r="G79" i="1"/>
  <c r="G8" i="1"/>
  <c r="G20" i="1"/>
  <c r="G32" i="1"/>
  <c r="G44" i="1"/>
  <c r="G56" i="1"/>
  <c r="G68" i="1"/>
  <c r="G80" i="1"/>
  <c r="G9" i="1"/>
  <c r="G33" i="1"/>
  <c r="G45" i="1"/>
  <c r="G69" i="1"/>
  <c r="G22" i="1"/>
  <c r="G46" i="1"/>
  <c r="G70" i="1"/>
  <c r="G23" i="1"/>
  <c r="G35" i="1"/>
  <c r="G83" i="1"/>
  <c r="G24" i="1"/>
  <c r="G48" i="1"/>
  <c r="G84" i="1"/>
  <c r="G37" i="1"/>
  <c r="G61" i="1"/>
  <c r="G60" i="1"/>
  <c r="F14" i="1"/>
  <c r="F26" i="1"/>
  <c r="F38" i="1"/>
  <c r="F50" i="1"/>
  <c r="F62" i="1"/>
  <c r="F74" i="1"/>
  <c r="F37" i="1"/>
  <c r="F3" i="1"/>
  <c r="F15" i="1"/>
  <c r="F27" i="1"/>
  <c r="F39" i="1"/>
  <c r="F51" i="1"/>
  <c r="F63" i="1"/>
  <c r="F75" i="1"/>
  <c r="F4" i="1"/>
  <c r="F16" i="1"/>
  <c r="F28" i="1"/>
  <c r="F40" i="1"/>
  <c r="F52" i="1"/>
  <c r="F64" i="1"/>
  <c r="F76" i="1"/>
  <c r="F5" i="1"/>
  <c r="F17" i="1"/>
  <c r="F29" i="1"/>
  <c r="F41" i="1"/>
  <c r="F53" i="1"/>
  <c r="F65" i="1"/>
  <c r="F77" i="1"/>
  <c r="F6" i="1"/>
  <c r="F18" i="1"/>
  <c r="F30" i="1"/>
  <c r="F42" i="1"/>
  <c r="F54" i="1"/>
  <c r="F66" i="1"/>
  <c r="F78" i="1"/>
  <c r="F7" i="1"/>
  <c r="F19" i="1"/>
  <c r="F31" i="1"/>
  <c r="F43" i="1"/>
  <c r="F67" i="1"/>
  <c r="F79" i="1"/>
  <c r="F8" i="1"/>
  <c r="F20" i="1"/>
  <c r="F32" i="1"/>
  <c r="F44" i="1"/>
  <c r="F56" i="1"/>
  <c r="F68" i="1"/>
  <c r="F80" i="1"/>
  <c r="F9" i="1"/>
  <c r="F85" i="1" s="1"/>
  <c r="F33" i="1"/>
  <c r="F45" i="1"/>
  <c r="F57" i="1"/>
  <c r="F81" i="1"/>
  <c r="F22" i="1"/>
  <c r="F46" i="1"/>
  <c r="F23" i="1"/>
  <c r="F35" i="1"/>
  <c r="F59" i="1"/>
  <c r="F71" i="1"/>
  <c r="F12" i="1"/>
  <c r="F48" i="1"/>
  <c r="F72" i="1"/>
  <c r="F25" i="1"/>
  <c r="F61" i="1"/>
  <c r="F55" i="1"/>
  <c r="F21" i="1"/>
  <c r="F69" i="1"/>
  <c r="F10" i="1"/>
  <c r="F34" i="1"/>
  <c r="F58" i="1"/>
  <c r="F70" i="1"/>
  <c r="F82" i="1"/>
  <c r="F11" i="1"/>
  <c r="F47" i="1"/>
  <c r="F83" i="1"/>
  <c r="F24" i="1"/>
  <c r="F36" i="1"/>
  <c r="F60" i="1"/>
  <c r="F84" i="1"/>
  <c r="F13" i="1"/>
  <c r="F49" i="1"/>
  <c r="F73" i="1"/>
</calcChain>
</file>

<file path=xl/sharedStrings.xml><?xml version="1.0" encoding="utf-8"?>
<sst xmlns="http://schemas.openxmlformats.org/spreadsheetml/2006/main" count="684" uniqueCount="209">
  <si>
    <t>Asset Class</t>
  </si>
  <si>
    <t>Sub Class</t>
  </si>
  <si>
    <t>Ticker</t>
  </si>
  <si>
    <t>BBG Ticker</t>
  </si>
  <si>
    <t>mktExpo</t>
  </si>
  <si>
    <t>FX</t>
  </si>
  <si>
    <t>EUR Bloc</t>
  </si>
  <si>
    <t>EUR</t>
  </si>
  <si>
    <t>N/A</t>
  </si>
  <si>
    <t>CHF</t>
  </si>
  <si>
    <t>EURCHF Curncy</t>
  </si>
  <si>
    <t>GBP</t>
  </si>
  <si>
    <t>EURGBP Curncy</t>
  </si>
  <si>
    <t>NOK</t>
  </si>
  <si>
    <t>EURNOK Curncy</t>
  </si>
  <si>
    <t>SEK</t>
  </si>
  <si>
    <t>EURSEK Curncy</t>
  </si>
  <si>
    <t>USD Bloc</t>
  </si>
  <si>
    <t>USD</t>
  </si>
  <si>
    <t>EURUSD Curncy</t>
  </si>
  <si>
    <t>ILS</t>
  </si>
  <si>
    <t>EURILS Curncy</t>
  </si>
  <si>
    <t>ASIA Bloc</t>
  </si>
  <si>
    <t>JPY</t>
  </si>
  <si>
    <t>EURJPY Curncy</t>
  </si>
  <si>
    <t>CNH</t>
  </si>
  <si>
    <t>EURCNH Curncy</t>
  </si>
  <si>
    <t>KRW</t>
  </si>
  <si>
    <t>EURKRW Curncy</t>
  </si>
  <si>
    <t>SGD</t>
  </si>
  <si>
    <t>EURSGD Curncy</t>
  </si>
  <si>
    <t>HKD</t>
  </si>
  <si>
    <t>EURHKD Curncy</t>
  </si>
  <si>
    <t>COMMO Bloc</t>
  </si>
  <si>
    <t>CAD</t>
  </si>
  <si>
    <t>EURCAD Curncy</t>
  </si>
  <si>
    <t>AUD</t>
  </si>
  <si>
    <t>EURAUD Curncy</t>
  </si>
  <si>
    <t>NZD</t>
  </si>
  <si>
    <t>EURNZD Curncy</t>
  </si>
  <si>
    <t>EM Bloc</t>
  </si>
  <si>
    <t>BRL</t>
  </si>
  <si>
    <t>EURBRL Curncy</t>
  </si>
  <si>
    <t>CLP</t>
  </si>
  <si>
    <t>EURCLP Curncy</t>
  </si>
  <si>
    <t>COP</t>
  </si>
  <si>
    <t>EURCOP Curncy</t>
  </si>
  <si>
    <t>MXN</t>
  </si>
  <si>
    <t>EURMXN Curncy</t>
  </si>
  <si>
    <t>ZAR</t>
  </si>
  <si>
    <t>EURZAR Curncy</t>
  </si>
  <si>
    <t>IDR</t>
  </si>
  <si>
    <t>EURIDR Curncy</t>
  </si>
  <si>
    <t>INR</t>
  </si>
  <si>
    <t>EURINR Curncy</t>
  </si>
  <si>
    <t>MYR</t>
  </si>
  <si>
    <t>EURMYR Curncy</t>
  </si>
  <si>
    <t>TRY</t>
  </si>
  <si>
    <t>EURTRY Curncy</t>
  </si>
  <si>
    <t>Rates</t>
  </si>
  <si>
    <t>DE</t>
  </si>
  <si>
    <t>ER</t>
  </si>
  <si>
    <t>ER1 Comdty</t>
  </si>
  <si>
    <t>DU</t>
  </si>
  <si>
    <t>DU1 Comdty</t>
  </si>
  <si>
    <t>OE</t>
  </si>
  <si>
    <t>OE1 Comdty</t>
  </si>
  <si>
    <t>RX</t>
  </si>
  <si>
    <t>RX1 Comdty</t>
  </si>
  <si>
    <t>UB</t>
  </si>
  <si>
    <t>UB1 Comdty</t>
  </si>
  <si>
    <t>US</t>
  </si>
  <si>
    <t>FF</t>
  </si>
  <si>
    <t>FF1 Comdty</t>
  </si>
  <si>
    <t>ED</t>
  </si>
  <si>
    <t>ED1 Comdty</t>
  </si>
  <si>
    <t>TU</t>
  </si>
  <si>
    <t>TU1 Comdty</t>
  </si>
  <si>
    <t>FV</t>
  </si>
  <si>
    <t>FV1 Comdty</t>
  </si>
  <si>
    <t>TY</t>
  </si>
  <si>
    <t>TY1 Comdty</t>
  </si>
  <si>
    <t>US1 Comdty</t>
  </si>
  <si>
    <t>WN</t>
  </si>
  <si>
    <t>WN1 Comdty</t>
  </si>
  <si>
    <t>FR</t>
  </si>
  <si>
    <t>OAT</t>
  </si>
  <si>
    <t>OAT1 Comdty</t>
  </si>
  <si>
    <t>IT</t>
  </si>
  <si>
    <t>BTS</t>
  </si>
  <si>
    <t>BTS1 Comdty</t>
  </si>
  <si>
    <t>IK</t>
  </si>
  <si>
    <t>IK1 Comdty</t>
  </si>
  <si>
    <t>UK</t>
  </si>
  <si>
    <t xml:space="preserve">L </t>
  </si>
  <si>
    <t>L 1 Comdty</t>
  </si>
  <si>
    <t xml:space="preserve">G </t>
  </si>
  <si>
    <t>G 1 Comdty</t>
  </si>
  <si>
    <t>AU</t>
  </si>
  <si>
    <t>YM</t>
  </si>
  <si>
    <t>YM1 Comdty</t>
  </si>
  <si>
    <t>XM</t>
  </si>
  <si>
    <t>XM1 Comdty</t>
  </si>
  <si>
    <t>CA</t>
  </si>
  <si>
    <t>CN</t>
  </si>
  <si>
    <t>CN1 Comdty</t>
  </si>
  <si>
    <t>JP</t>
  </si>
  <si>
    <t>JB</t>
  </si>
  <si>
    <t>JB1 Comdty</t>
  </si>
  <si>
    <t>KR</t>
  </si>
  <si>
    <t>KAA</t>
  </si>
  <si>
    <t>KAA1 Comdty</t>
  </si>
  <si>
    <t>Equities</t>
  </si>
  <si>
    <t>ES</t>
  </si>
  <si>
    <t>ES1 Index</t>
  </si>
  <si>
    <t>NQ</t>
  </si>
  <si>
    <t>NQ1 Index</t>
  </si>
  <si>
    <t>DM</t>
  </si>
  <si>
    <t>DM1 Index</t>
  </si>
  <si>
    <t>RTY</t>
  </si>
  <si>
    <t>RTY1 Index</t>
  </si>
  <si>
    <t>Europe</t>
  </si>
  <si>
    <t>VG</t>
  </si>
  <si>
    <t>VG1 Index</t>
  </si>
  <si>
    <t>CA1 Index</t>
  </si>
  <si>
    <t>GX</t>
  </si>
  <si>
    <t>GX1 Index</t>
  </si>
  <si>
    <t>SXO</t>
  </si>
  <si>
    <t>SXO1 Index</t>
  </si>
  <si>
    <t>CF</t>
  </si>
  <si>
    <t>CF1 Index</t>
  </si>
  <si>
    <t xml:space="preserve">Z </t>
  </si>
  <si>
    <t>Z 1 Index</t>
  </si>
  <si>
    <t>DFW</t>
  </si>
  <si>
    <t>DFW1 Index</t>
  </si>
  <si>
    <t>FVS</t>
  </si>
  <si>
    <t>FVS1 Index</t>
  </si>
  <si>
    <t>DED</t>
  </si>
  <si>
    <t>DED1 Index</t>
  </si>
  <si>
    <t>BJ</t>
  </si>
  <si>
    <t>BJ1 Index</t>
  </si>
  <si>
    <t>KG</t>
  </si>
  <si>
    <t>KG1 Index</t>
  </si>
  <si>
    <t>QB</t>
  </si>
  <si>
    <t>QB1 Index</t>
  </si>
  <si>
    <t>SRD</t>
  </si>
  <si>
    <t>SRD1 Index</t>
  </si>
  <si>
    <t>DBE</t>
  </si>
  <si>
    <t>DBE1 Index</t>
  </si>
  <si>
    <t>SX</t>
  </si>
  <si>
    <t>SX1 Index</t>
  </si>
  <si>
    <t>JS</t>
  </si>
  <si>
    <t>JS1 Index</t>
  </si>
  <si>
    <t>IB</t>
  </si>
  <si>
    <t>IB1 Index</t>
  </si>
  <si>
    <t>Asia</t>
  </si>
  <si>
    <t>NO</t>
  </si>
  <si>
    <t>NO1 Index</t>
  </si>
  <si>
    <t>NK</t>
  </si>
  <si>
    <t>NK1 Index</t>
  </si>
  <si>
    <t>NX</t>
  </si>
  <si>
    <t>NX1 Index</t>
  </si>
  <si>
    <t>TP</t>
  </si>
  <si>
    <t>TP1 Index</t>
  </si>
  <si>
    <t>HI</t>
  </si>
  <si>
    <t>HI1 Index</t>
  </si>
  <si>
    <t>XU</t>
  </si>
  <si>
    <t>XU1 Index</t>
  </si>
  <si>
    <t>KM</t>
  </si>
  <si>
    <t>KM1 Index</t>
  </si>
  <si>
    <t>EM</t>
  </si>
  <si>
    <t>MES</t>
  </si>
  <si>
    <t>MES1 Index</t>
  </si>
  <si>
    <t>Commodities</t>
  </si>
  <si>
    <t>Oil</t>
  </si>
  <si>
    <t>CL</t>
  </si>
  <si>
    <t>CL1 Comdty</t>
  </si>
  <si>
    <t>Wheat</t>
  </si>
  <si>
    <t xml:space="preserve">W </t>
  </si>
  <si>
    <t>W 1 Comdty</t>
  </si>
  <si>
    <t>Soybean</t>
  </si>
  <si>
    <t xml:space="preserve">S </t>
  </si>
  <si>
    <t>S 1 Comdty</t>
  </si>
  <si>
    <t>Corn</t>
  </si>
  <si>
    <t xml:space="preserve">C </t>
  </si>
  <si>
    <t>C 1 Comdty</t>
  </si>
  <si>
    <t>Natural Gas</t>
  </si>
  <si>
    <t>NG</t>
  </si>
  <si>
    <t>NG1 Comdty</t>
  </si>
  <si>
    <t>Gold</t>
  </si>
  <si>
    <t>GC</t>
  </si>
  <si>
    <t>GC1 Comdty</t>
  </si>
  <si>
    <t>Silver</t>
  </si>
  <si>
    <t>SI</t>
  </si>
  <si>
    <t>SI1 Comdty</t>
  </si>
  <si>
    <t>Copper</t>
  </si>
  <si>
    <t>HG</t>
  </si>
  <si>
    <t>HG1 Comdty</t>
  </si>
  <si>
    <t>Price File Path</t>
  </si>
  <si>
    <t>VCV Path</t>
  </si>
  <si>
    <t>Last VCV refresh</t>
  </si>
  <si>
    <t>Last VCV price date</t>
  </si>
  <si>
    <t>Today</t>
  </si>
  <si>
    <t>Data\pricesFromGad_20230105.xlsx</t>
  </si>
  <si>
    <t>Data\VCV_LAST.xlsx</t>
  </si>
  <si>
    <t>iVaR From Range</t>
  </si>
  <si>
    <t>iVaR From File</t>
  </si>
  <si>
    <t>MktExpo</t>
  </si>
  <si>
    <t>iVaR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</si>
</sst>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%"/>
    <numFmt numFmtId="165" formatCode="0.000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venir Light"/>
      <family val="2"/>
    </font>
    <font>
      <b/>
      <sz val="10"/>
      <color theme="1"/>
      <name val="Avenir Light"/>
      <family val="2"/>
    </font>
    <font>
      <b/>
      <sz val="11"/>
      <color theme="1"/>
      <name val="Avenir Light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6"/>
      </left>
      <right/>
      <top style="thin">
        <color theme="6"/>
      </top>
      <bottom style="double">
        <color theme="6"/>
      </bottom>
      <diagonal/>
    </border>
    <border>
      <left/>
      <right/>
      <top/>
      <bottom style="thin">
        <color theme="6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3" fillId="0" borderId="0" xfId="2"/>
    <xf numFmtId="0" fontId="4" fillId="2" borderId="1" xfId="5" applyFont="1" applyFill="1" applyBorder="1" applyAlignment="1">
      <alignment horizontal="center"/>
    </xf>
    <xf numFmtId="0" fontId="4" fillId="3" borderId="0" xfId="5" applyFont="1" applyFill="1" applyAlignment="1">
      <alignment horizontal="center"/>
    </xf>
    <xf numFmtId="0" fontId="4" fillId="3" borderId="2" xfId="5" applyFont="1" applyFill="1" applyBorder="1" applyAlignment="1">
      <alignment horizontal="center"/>
    </xf>
    <xf numFmtId="0" fontId="5" fillId="0" borderId="0" xfId="2" applyFont="1"/>
    <xf numFmtId="10" fontId="3" fillId="0" borderId="0" xfId="4" applyNumberFormat="1" applyFont="1"/>
    <xf numFmtId="22" fontId="0" fillId="0" borderId="0" xfId="0" applyNumberFormat="1"/>
    <xf numFmtId="0" fontId="2" fillId="0" borderId="0" xfId="0" applyFont="1"/>
    <xf numFmtId="14" fontId="0" fillId="0" borderId="0" xfId="0" applyNumberFormat="1"/>
    <xf numFmtId="0" fontId="5" fillId="0" borderId="0" xfId="2" applyFont="1" applyFill="1"/>
    <xf numFmtId="164" fontId="0" fillId="0" borderId="0" xfId="1" applyNumberFormat="1" applyFont="1"/>
    <xf numFmtId="164" fontId="2" fillId="4" borderId="0" xfId="0" applyNumberFormat="1" applyFont="1" applyFill="1"/>
    <xf numFmtId="165" fontId="0" fillId="0" borderId="0" xfId="1" applyNumberFormat="1" applyFont="1"/>
    <xf numFmtId="164" fontId="6" fillId="4" borderId="0" xfId="0" applyNumberFormat="1" applyFont="1" applyFill="1"/>
  </cellXfs>
  <cellStyles count="8">
    <cellStyle name="Comma 2" xfId="3" xr:uid="{00000000-0005-0000-0000-00002F000000}"/>
    <cellStyle name="Milliers 2" xfId="7" xr:uid="{FE2214D6-AFEE-45F0-A85C-B5AE5BB3F3D5}"/>
    <cellStyle name="Normal" xfId="0" builtinId="0"/>
    <cellStyle name="Normal 2" xfId="5" xr:uid="{45B86F0D-7E58-420B-98CE-301554795DC1}"/>
    <cellStyle name="Normal 3" xfId="2" xr:uid="{00000000-0005-0000-0000-000031000000}"/>
    <cellStyle name="Percent" xfId="1" builtinId="5"/>
    <cellStyle name="Percent 2" xfId="4" xr:uid="{00000000-0005-0000-0000-000033000000}"/>
    <cellStyle name="Pourcentage 2" xfId="6" xr:uid="{6E15A51F-B13F-4308-A8E0-0205B43E5F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1</xdr:row>
      <xdr:rowOff>38100</xdr:rowOff>
    </xdr:from>
    <xdr:to>
      <xdr:col>7</xdr:col>
      <xdr:colOff>9525</xdr:colOff>
      <xdr:row>3</xdr:row>
      <xdr:rowOff>133350</xdr:rowOff>
    </xdr:to>
    <xdr:sp macro="[0]!RefreshVC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D025B28-B2FE-4FA5-AB29-6940B959E957}"/>
            </a:ext>
          </a:extLst>
        </xdr:cNvPr>
        <xdr:cNvSpPr/>
      </xdr:nvSpPr>
      <xdr:spPr>
        <a:xfrm>
          <a:off x="4552950" y="228600"/>
          <a:ext cx="190500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Refresh VCV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/VCV_LAS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.normand\AppData\Local\Microsoft\Windows\INetCache\Content.Outlook\5BMAMH68\DB_Dashboard_0109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EURCHF Curncy</v>
          </cell>
          <cell r="C1" t="str">
            <v>EURGBP Curncy</v>
          </cell>
          <cell r="D1" t="str">
            <v>EURNOK Curncy</v>
          </cell>
          <cell r="E1" t="str">
            <v>EURSEK Curncy</v>
          </cell>
          <cell r="F1" t="str">
            <v>EURUSD Curncy</v>
          </cell>
          <cell r="G1" t="str">
            <v>EURILS Curncy</v>
          </cell>
          <cell r="H1" t="str">
            <v>EURJPY Curncy</v>
          </cell>
          <cell r="I1" t="str">
            <v>EURCNH Curncy</v>
          </cell>
          <cell r="J1" t="str">
            <v>EURKRW Curncy</v>
          </cell>
          <cell r="K1" t="str">
            <v>EURSGD Curncy</v>
          </cell>
          <cell r="L1" t="str">
            <v>EURHKD Curncy</v>
          </cell>
          <cell r="M1" t="str">
            <v>EURCAD Curncy</v>
          </cell>
          <cell r="N1" t="str">
            <v>EURAUD Curncy</v>
          </cell>
          <cell r="O1" t="str">
            <v>EURNZD Curncy</v>
          </cell>
          <cell r="P1" t="str">
            <v>EURBRL Curncy</v>
          </cell>
          <cell r="Q1" t="str">
            <v>EURCLP Curncy</v>
          </cell>
          <cell r="R1" t="str">
            <v>EURCOP Curncy</v>
          </cell>
          <cell r="S1" t="str">
            <v>EURMXN Curncy</v>
          </cell>
          <cell r="T1" t="str">
            <v>EURZAR Curncy</v>
          </cell>
          <cell r="U1" t="str">
            <v>EURIDR Curncy</v>
          </cell>
          <cell r="V1" t="str">
            <v>EURINR Curncy</v>
          </cell>
          <cell r="W1" t="str">
            <v>EURMYR Curncy</v>
          </cell>
          <cell r="X1" t="str">
            <v>EURTRY Curncy</v>
          </cell>
          <cell r="Y1" t="str">
            <v>ER1 Comdty</v>
          </cell>
          <cell r="Z1" t="str">
            <v>DU1 Comdty</v>
          </cell>
          <cell r="AA1" t="str">
            <v>OE1 Comdty</v>
          </cell>
          <cell r="AB1" t="str">
            <v>RX1 Comdty</v>
          </cell>
          <cell r="AC1" t="str">
            <v>UB1 Comdty</v>
          </cell>
          <cell r="AD1" t="str">
            <v>FF1 Comdty</v>
          </cell>
          <cell r="AE1" t="str">
            <v>ED1 Comdty</v>
          </cell>
          <cell r="AF1" t="str">
            <v>TU1 Comdty</v>
          </cell>
          <cell r="AG1" t="str">
            <v>FV1 Comdty</v>
          </cell>
          <cell r="AH1" t="str">
            <v>TY1 Comdty</v>
          </cell>
          <cell r="AI1" t="str">
            <v>US1 Comdty</v>
          </cell>
          <cell r="AJ1" t="str">
            <v>WN1 Comdty</v>
          </cell>
          <cell r="AK1" t="str">
            <v>OAT1 Comdty</v>
          </cell>
          <cell r="AL1" t="str">
            <v>BTS1 Comdty</v>
          </cell>
          <cell r="AM1" t="str">
            <v>IK1 Comdty</v>
          </cell>
          <cell r="AN1" t="str">
            <v>L 1 Comdty</v>
          </cell>
          <cell r="AO1" t="str">
            <v>G 1 Comdty</v>
          </cell>
          <cell r="AP1" t="str">
            <v>YM1 Comdty</v>
          </cell>
          <cell r="AQ1" t="str">
            <v>XM1 Comdty</v>
          </cell>
          <cell r="AR1" t="str">
            <v>CN1 Comdty</v>
          </cell>
          <cell r="AS1" t="str">
            <v>JB1 Comdty</v>
          </cell>
          <cell r="AT1" t="str">
            <v>KAA1 Comdty</v>
          </cell>
          <cell r="AU1" t="str">
            <v>ES1 Index</v>
          </cell>
          <cell r="AV1" t="str">
            <v>NQ1 Index</v>
          </cell>
          <cell r="AW1" t="str">
            <v>DM1 Index</v>
          </cell>
          <cell r="AX1" t="str">
            <v>RTY1 Index</v>
          </cell>
          <cell r="AY1" t="str">
            <v>VG1 Index</v>
          </cell>
          <cell r="AZ1" t="str">
            <v>CA1 Index</v>
          </cell>
          <cell r="BA1" t="str">
            <v>GX1 Index</v>
          </cell>
          <cell r="BB1" t="str">
            <v>SXO1 Index</v>
          </cell>
          <cell r="BC1" t="str">
            <v>CF1 Index</v>
          </cell>
          <cell r="BD1" t="str">
            <v>Z 1 Index</v>
          </cell>
          <cell r="BE1" t="str">
            <v>DFW1 Index</v>
          </cell>
          <cell r="BF1" t="str">
            <v>FVS1 Index</v>
          </cell>
          <cell r="BG1" t="str">
            <v>DED1 Index</v>
          </cell>
          <cell r="BH1" t="str">
            <v>BJ1 Index</v>
          </cell>
          <cell r="BI1" t="str">
            <v>KG1 Index</v>
          </cell>
          <cell r="BJ1" t="str">
            <v>QB1 Index</v>
          </cell>
          <cell r="BK1" t="str">
            <v>SRD1 Index</v>
          </cell>
          <cell r="BL1" t="str">
            <v>DBE1 Index</v>
          </cell>
          <cell r="BM1" t="str">
            <v>SX1 Index</v>
          </cell>
          <cell r="BN1" t="str">
            <v>JS1 Index</v>
          </cell>
          <cell r="BO1" t="str">
            <v>IB1 Index</v>
          </cell>
          <cell r="BP1" t="str">
            <v>NO1 Index</v>
          </cell>
          <cell r="BQ1" t="str">
            <v>NK1 Index</v>
          </cell>
          <cell r="BR1" t="str">
            <v>NX1 Index</v>
          </cell>
          <cell r="BS1" t="str">
            <v>TP1 Index</v>
          </cell>
          <cell r="BT1" t="str">
            <v>HI1 Index</v>
          </cell>
          <cell r="BU1" t="str">
            <v>XU1 Index</v>
          </cell>
          <cell r="BV1" t="str">
            <v>KM1 Index</v>
          </cell>
          <cell r="BW1" t="str">
            <v>MES1 Index</v>
          </cell>
          <cell r="BX1" t="str">
            <v>CL1 Comdty</v>
          </cell>
          <cell r="BY1" t="str">
            <v>W 1 Comdty</v>
          </cell>
          <cell r="BZ1" t="str">
            <v>S 1 Comdty</v>
          </cell>
          <cell r="CA1" t="str">
            <v>C 1 Comdty</v>
          </cell>
          <cell r="CB1" t="str">
            <v>NG1 Comdty</v>
          </cell>
          <cell r="CC1" t="str">
            <v>GC1 Comdty</v>
          </cell>
          <cell r="CD1" t="str">
            <v>SI1 Comdty</v>
          </cell>
          <cell r="CE1" t="str">
            <v>HG1 Comdty</v>
          </cell>
        </row>
        <row r="2">
          <cell r="A2" t="str">
            <v>EURCHF Curncy</v>
          </cell>
          <cell r="B2">
            <v>1.451360019016123E-5</v>
          </cell>
          <cell r="C2">
            <v>-1.3663669216843409E-6</v>
          </cell>
          <cell r="D2">
            <v>-1.251550661485275E-6</v>
          </cell>
          <cell r="E2">
            <v>-1.5076927508051729E-6</v>
          </cell>
          <cell r="F2">
            <v>6.9534506471192773E-6</v>
          </cell>
          <cell r="G2">
            <v>6.9656071098392988E-6</v>
          </cell>
          <cell r="H2">
            <v>1.051927368562673E-5</v>
          </cell>
          <cell r="I2">
            <v>5.8818522423874013E-6</v>
          </cell>
          <cell r="J2">
            <v>2.9941346457263821E-6</v>
          </cell>
          <cell r="K2">
            <v>3.412666537369948E-6</v>
          </cell>
          <cell r="L2">
            <v>6.8656618510705781E-6</v>
          </cell>
          <cell r="M2">
            <v>3.3110621938139439E-6</v>
          </cell>
          <cell r="N2">
            <v>8.6461275004142937E-7</v>
          </cell>
          <cell r="O2">
            <v>9.3141127456253122E-7</v>
          </cell>
          <cell r="P2">
            <v>-2.9239752165427239E-7</v>
          </cell>
          <cell r="Q2">
            <v>-8.2136532211704589E-6</v>
          </cell>
          <cell r="R2">
            <v>2.4518655035841412E-7</v>
          </cell>
          <cell r="S2">
            <v>-5.9837233495664989E-7</v>
          </cell>
          <cell r="T2">
            <v>-6.0171013878986177E-6</v>
          </cell>
          <cell r="U2">
            <v>5.3948631523785127E-6</v>
          </cell>
          <cell r="V2">
            <v>5.3470027583894097E-6</v>
          </cell>
          <cell r="W2">
            <v>5.6778676374036084E-6</v>
          </cell>
          <cell r="X2">
            <v>1.0095197236173179E-6</v>
          </cell>
          <cell r="Y2">
            <v>3.7467277475969873E-7</v>
          </cell>
          <cell r="Z2">
            <v>-5.4938043590183572E-7</v>
          </cell>
          <cell r="AA2">
            <v>-2.363634893407945E-6</v>
          </cell>
          <cell r="AB2">
            <v>-5.7320742952977204E-6</v>
          </cell>
          <cell r="AC2">
            <v>-1.5286776737005419E-5</v>
          </cell>
          <cell r="AD2">
            <v>-5.6066787428532282E-8</v>
          </cell>
          <cell r="AE2">
            <v>3.4896965478558118E-7</v>
          </cell>
          <cell r="AF2">
            <v>-3.4955930424952418E-7</v>
          </cell>
          <cell r="AG2">
            <v>-2.1481098180211941E-6</v>
          </cell>
          <cell r="AH2">
            <v>-4.0548523363695849E-6</v>
          </cell>
          <cell r="AI2">
            <v>-9.6267006155088871E-6</v>
          </cell>
          <cell r="AJ2">
            <v>-1.348342835270055E-5</v>
          </cell>
          <cell r="AK2">
            <v>-4.1519493375992688E-6</v>
          </cell>
          <cell r="AL2">
            <v>6.0405601725774787E-7</v>
          </cell>
          <cell r="AM2">
            <v>-2.0494986957810551E-6</v>
          </cell>
          <cell r="AN2">
            <v>4.2727978887333663E-9</v>
          </cell>
          <cell r="AO2">
            <v>-9.8681896676900321E-7</v>
          </cell>
          <cell r="AP2">
            <v>-2.1184601782617729E-7</v>
          </cell>
          <cell r="AQ2">
            <v>-6.6306201783580862E-7</v>
          </cell>
          <cell r="AR2">
            <v>-6.8973426030829191E-6</v>
          </cell>
          <cell r="AS2">
            <v>-1.4430473127799781E-6</v>
          </cell>
          <cell r="AT2">
            <v>-3.964310522359464E-6</v>
          </cell>
          <cell r="AU2">
            <v>7.6489114555422666E-6</v>
          </cell>
          <cell r="AV2">
            <v>1.8457741493158479E-6</v>
          </cell>
          <cell r="AW2">
            <v>1.274439866404024E-5</v>
          </cell>
          <cell r="AX2">
            <v>1.5914218360382521E-5</v>
          </cell>
          <cell r="AY2">
            <v>1.8410995602744491E-5</v>
          </cell>
          <cell r="AZ2">
            <v>3.9939070033502772E-5</v>
          </cell>
          <cell r="BA2">
            <v>2.1911818674124471E-5</v>
          </cell>
          <cell r="BB2">
            <v>1.143271988745418E-5</v>
          </cell>
          <cell r="BC2">
            <v>1.663668009051873E-5</v>
          </cell>
          <cell r="BD2">
            <v>9.0092096433577321E-6</v>
          </cell>
          <cell r="BE2">
            <v>2.1911818674124471E-5</v>
          </cell>
          <cell r="BF2">
            <v>-6.8449318762041348E-5</v>
          </cell>
          <cell r="BG2">
            <v>4.6983098538050646E-6</v>
          </cell>
          <cell r="BH2">
            <v>3.209005153934936E-5</v>
          </cell>
          <cell r="BI2">
            <v>2.4120935315275791E-5</v>
          </cell>
          <cell r="BJ2">
            <v>1.9010452421118909E-5</v>
          </cell>
          <cell r="BK2">
            <v>1.053493621815598E-5</v>
          </cell>
          <cell r="BL2">
            <v>3.7624032690233852E-5</v>
          </cell>
          <cell r="BM2">
            <v>3.3972654692649953E-5</v>
          </cell>
          <cell r="BN2">
            <v>2.705045892552998E-5</v>
          </cell>
          <cell r="BO2">
            <v>1.806076959702689E-5</v>
          </cell>
          <cell r="BP2">
            <v>1.6169623409176411E-5</v>
          </cell>
          <cell r="BQ2">
            <v>1.6169623409176411E-5</v>
          </cell>
          <cell r="BR2">
            <v>1.6923476831340519E-5</v>
          </cell>
          <cell r="BS2">
            <v>1.35544829844971E-5</v>
          </cell>
          <cell r="BT2">
            <v>1.026010735191904E-5</v>
          </cell>
          <cell r="BU2">
            <v>3.0820134169235338E-6</v>
          </cell>
          <cell r="BV2">
            <v>1.523758599008121E-5</v>
          </cell>
          <cell r="BW2">
            <v>1.469291755114136E-5</v>
          </cell>
          <cell r="BX2">
            <v>3.3314872957983318E-5</v>
          </cell>
          <cell r="BY2">
            <v>-2.7440338138315958E-6</v>
          </cell>
          <cell r="BZ2">
            <v>5.0724662576868641E-6</v>
          </cell>
          <cell r="CA2">
            <v>-8.3069548038312442E-8</v>
          </cell>
          <cell r="CB2">
            <v>8.6000236656282922E-6</v>
          </cell>
          <cell r="CC2">
            <v>-4.9441780680335439E-6</v>
          </cell>
          <cell r="CD2">
            <v>4.7059643109136723E-6</v>
          </cell>
          <cell r="CE2">
            <v>2.189687502075379E-5</v>
          </cell>
        </row>
        <row r="3">
          <cell r="A3" t="str">
            <v>EURGBP Curncy</v>
          </cell>
          <cell r="B3">
            <v>-1.3663669216843409E-6</v>
          </cell>
          <cell r="C3">
            <v>3.7708977755944479E-5</v>
          </cell>
          <cell r="D3">
            <v>3.096060871547687E-5</v>
          </cell>
          <cell r="E3">
            <v>1.059666439115111E-5</v>
          </cell>
          <cell r="F3">
            <v>2.7848565559874018E-6</v>
          </cell>
          <cell r="G3">
            <v>1.4827784788435799E-5</v>
          </cell>
          <cell r="H3">
            <v>-1.61554280872288E-7</v>
          </cell>
          <cell r="I3">
            <v>1.022215137489777E-5</v>
          </cell>
          <cell r="J3">
            <v>9.3552546701077063E-6</v>
          </cell>
          <cell r="K3">
            <v>1.0042217039477759E-5</v>
          </cell>
          <cell r="L3">
            <v>2.693625786811791E-6</v>
          </cell>
          <cell r="M3">
            <v>1.5767249547785119E-5</v>
          </cell>
          <cell r="N3">
            <v>2.655374914639595E-5</v>
          </cell>
          <cell r="O3">
            <v>2.2742762994598001E-5</v>
          </cell>
          <cell r="P3">
            <v>1.5598082545992491E-5</v>
          </cell>
          <cell r="Q3">
            <v>7.8429240888357293E-6</v>
          </cell>
          <cell r="R3">
            <v>2.2204891619548849E-5</v>
          </cell>
          <cell r="S3">
            <v>2.6368502306369051E-5</v>
          </cell>
          <cell r="T3">
            <v>1.884982285680493E-5</v>
          </cell>
          <cell r="U3">
            <v>1.3691729660454449E-5</v>
          </cell>
          <cell r="V3">
            <v>6.279984773529458E-6</v>
          </cell>
          <cell r="W3">
            <v>8.5601378336652096E-6</v>
          </cell>
          <cell r="X3">
            <v>9.7977434111196318E-6</v>
          </cell>
          <cell r="Y3">
            <v>-8.473292895554793E-7</v>
          </cell>
          <cell r="Z3">
            <v>-1.37390604042609E-6</v>
          </cell>
          <cell r="AA3">
            <v>-4.7492944929260344E-6</v>
          </cell>
          <cell r="AB3">
            <v>-9.5756171458084549E-6</v>
          </cell>
          <cell r="AC3">
            <v>-1.0624396981816709E-5</v>
          </cell>
          <cell r="AD3">
            <v>4.6784617273830661E-7</v>
          </cell>
          <cell r="AE3">
            <v>3.6066069350071328E-7</v>
          </cell>
          <cell r="AF3">
            <v>1.2022954224133E-6</v>
          </cell>
          <cell r="AG3">
            <v>1.1115446040355439E-6</v>
          </cell>
          <cell r="AH3">
            <v>9.0948316547386978E-7</v>
          </cell>
          <cell r="AI3">
            <v>2.363243454470816E-6</v>
          </cell>
          <cell r="AJ3">
            <v>9.8343923584755292E-7</v>
          </cell>
          <cell r="AK3">
            <v>-1.080129942821187E-5</v>
          </cell>
          <cell r="AL3">
            <v>-5.9572541730503902E-6</v>
          </cell>
          <cell r="AM3">
            <v>-1.8515827698733379E-5</v>
          </cell>
          <cell r="AN3">
            <v>4.2639664715566022E-7</v>
          </cell>
          <cell r="AO3">
            <v>-7.3988723193102204E-6</v>
          </cell>
          <cell r="AP3">
            <v>-3.0105330235201368E-7</v>
          </cell>
          <cell r="AQ3">
            <v>-6.2177670985511981E-7</v>
          </cell>
          <cell r="AR3">
            <v>1.2738400820917759E-6</v>
          </cell>
          <cell r="AS3">
            <v>-1.932799405746656E-6</v>
          </cell>
          <cell r="AT3">
            <v>-2.0959497226937241E-6</v>
          </cell>
          <cell r="AU3">
            <v>-5.2169155836644737E-5</v>
          </cell>
          <cell r="AV3">
            <v>-4.9554933219072582E-5</v>
          </cell>
          <cell r="AW3">
            <v>-5.502517249538871E-5</v>
          </cell>
          <cell r="AX3">
            <v>-6.8536849178593676E-5</v>
          </cell>
          <cell r="AY3">
            <v>-5.824706334013421E-5</v>
          </cell>
          <cell r="AZ3">
            <v>-7.8079295892101696E-5</v>
          </cell>
          <cell r="BA3">
            <v>-5.7387229259327673E-5</v>
          </cell>
          <cell r="BB3">
            <v>-5.8055809597035393E-5</v>
          </cell>
          <cell r="BC3">
            <v>-5.8786909932466733E-5</v>
          </cell>
          <cell r="BD3">
            <v>-3.5554461769546468E-5</v>
          </cell>
          <cell r="BE3">
            <v>-5.7387229259327673E-5</v>
          </cell>
          <cell r="BF3">
            <v>2.8614572205220038E-4</v>
          </cell>
          <cell r="BG3">
            <v>-1.8919022605054852E-5</v>
          </cell>
          <cell r="BH3">
            <v>-7.3856510144431763E-5</v>
          </cell>
          <cell r="BI3">
            <v>-7.9378727819545705E-5</v>
          </cell>
          <cell r="BJ3">
            <v>-6.93720337191651E-5</v>
          </cell>
          <cell r="BK3">
            <v>-7.4743242940155839E-5</v>
          </cell>
          <cell r="BL3">
            <v>-8.7104583447000807E-6</v>
          </cell>
          <cell r="BM3">
            <v>-7.2346015997966774E-5</v>
          </cell>
          <cell r="BN3">
            <v>-7.3194539533460922E-5</v>
          </cell>
          <cell r="BO3">
            <v>-5.7465570007707883E-5</v>
          </cell>
          <cell r="BP3">
            <v>-4.5292557468762253E-5</v>
          </cell>
          <cell r="BQ3">
            <v>-4.5292557468762253E-5</v>
          </cell>
          <cell r="BR3">
            <v>-4.6031107215556793E-5</v>
          </cell>
          <cell r="BS3">
            <v>-3.8358947360041253E-5</v>
          </cell>
          <cell r="BT3">
            <v>-3.6704712329622682E-5</v>
          </cell>
          <cell r="BU3">
            <v>-2.245966722313365E-5</v>
          </cell>
          <cell r="BV3">
            <v>-4.6311558646378043E-5</v>
          </cell>
          <cell r="BW3">
            <v>-4.8051095375475053E-5</v>
          </cell>
          <cell r="BX3">
            <v>-7.0613418719496314E-5</v>
          </cell>
          <cell r="BY3">
            <v>4.3106408181977597E-6</v>
          </cell>
          <cell r="BZ3">
            <v>-1.2474454952586651E-5</v>
          </cell>
          <cell r="CA3">
            <v>-1.738812307511374E-6</v>
          </cell>
          <cell r="CB3">
            <v>-8.3931523499751164E-5</v>
          </cell>
          <cell r="CC3">
            <v>-4.7607498586794977E-6</v>
          </cell>
          <cell r="CD3">
            <v>-3.5484114998785642E-5</v>
          </cell>
          <cell r="CE3">
            <v>-2.9197641639130881E-5</v>
          </cell>
        </row>
        <row r="4">
          <cell r="A4" t="str">
            <v>EURNOK Curncy</v>
          </cell>
          <cell r="B4">
            <v>-1.251550661485275E-6</v>
          </cell>
          <cell r="C4">
            <v>3.096060871547687E-5</v>
          </cell>
          <cell r="D4">
            <v>8.103891139858531E-5</v>
          </cell>
          <cell r="E4">
            <v>2.780893293551892E-5</v>
          </cell>
          <cell r="F4">
            <v>-8.0634108407088828E-6</v>
          </cell>
          <cell r="G4">
            <v>2.2737592824071468E-5</v>
          </cell>
          <cell r="H4">
            <v>-1.200165152551053E-5</v>
          </cell>
          <cell r="I4">
            <v>4.0510809366066877E-6</v>
          </cell>
          <cell r="J4">
            <v>1.226191881801704E-5</v>
          </cell>
          <cell r="K4">
            <v>9.1255533173502916E-6</v>
          </cell>
          <cell r="L4">
            <v>-7.9434617118400169E-6</v>
          </cell>
          <cell r="M4">
            <v>2.7060141622928671E-5</v>
          </cell>
          <cell r="N4">
            <v>5.192191423894626E-5</v>
          </cell>
          <cell r="O4">
            <v>4.2069389290612028E-5</v>
          </cell>
          <cell r="P4">
            <v>4.5946888505545373E-5</v>
          </cell>
          <cell r="Q4">
            <v>2.7215608871922549E-5</v>
          </cell>
          <cell r="R4">
            <v>6.0807082066920787E-5</v>
          </cell>
          <cell r="S4">
            <v>5.7186636044645037E-5</v>
          </cell>
          <cell r="T4">
            <v>5.1583693437019757E-5</v>
          </cell>
          <cell r="U4">
            <v>2.4605850214400459E-5</v>
          </cell>
          <cell r="V4">
            <v>4.6471694498970712E-6</v>
          </cell>
          <cell r="W4">
            <v>1.1166912079870259E-5</v>
          </cell>
          <cell r="X4">
            <v>2.279416196044705E-5</v>
          </cell>
          <cell r="Y4">
            <v>-1.202211231269033E-6</v>
          </cell>
          <cell r="Z4">
            <v>-9.1772842908089696E-7</v>
          </cell>
          <cell r="AA4">
            <v>-4.0289084158558118E-6</v>
          </cell>
          <cell r="AB4">
            <v>-9.9975190272886816E-6</v>
          </cell>
          <cell r="AC4">
            <v>-6.5058638633789233E-6</v>
          </cell>
          <cell r="AD4">
            <v>1.1424755892985879E-6</v>
          </cell>
          <cell r="AE4">
            <v>6.4107286630798195E-7</v>
          </cell>
          <cell r="AF4">
            <v>1.899651033959407E-6</v>
          </cell>
          <cell r="AG4">
            <v>2.9278652491663111E-6</v>
          </cell>
          <cell r="AH4">
            <v>3.5773706518891989E-6</v>
          </cell>
          <cell r="AI4">
            <v>7.0012151330782351E-6</v>
          </cell>
          <cell r="AJ4">
            <v>8.0028875089649764E-6</v>
          </cell>
          <cell r="AK4">
            <v>-1.220937320266084E-5</v>
          </cell>
          <cell r="AL4">
            <v>-9.1310295879915615E-6</v>
          </cell>
          <cell r="AM4">
            <v>-3.0001266799534061E-5</v>
          </cell>
          <cell r="AN4">
            <v>3.6295511326013501E-7</v>
          </cell>
          <cell r="AO4">
            <v>-8.6200958407145307E-6</v>
          </cell>
          <cell r="AP4">
            <v>3.7918308444084502E-7</v>
          </cell>
          <cell r="AQ4">
            <v>-1.998449002041728E-7</v>
          </cell>
          <cell r="AR4">
            <v>5.0190633413030598E-6</v>
          </cell>
          <cell r="AS4">
            <v>-2.6656227981317469E-6</v>
          </cell>
          <cell r="AT4">
            <v>-2.117018631556954E-6</v>
          </cell>
          <cell r="AU4">
            <v>-1.066193733290546E-4</v>
          </cell>
          <cell r="AV4">
            <v>-1.0304079263022081E-4</v>
          </cell>
          <cell r="AW4">
            <v>-1.107225165783482E-4</v>
          </cell>
          <cell r="AX4">
            <v>-1.5158212507911849E-4</v>
          </cell>
          <cell r="AY4">
            <v>-1.119893468210261E-4</v>
          </cell>
          <cell r="AZ4">
            <v>-1.5210542782948639E-4</v>
          </cell>
          <cell r="BA4">
            <v>-1.1037630874163361E-4</v>
          </cell>
          <cell r="BB4">
            <v>-1.049697529682608E-4</v>
          </cell>
          <cell r="BC4">
            <v>-1.140614608606673E-4</v>
          </cell>
          <cell r="BD4">
            <v>-9.0979147365759025E-5</v>
          </cell>
          <cell r="BE4">
            <v>-1.1037630874163361E-4</v>
          </cell>
          <cell r="BF4">
            <v>5.7122823363331301E-4</v>
          </cell>
          <cell r="BG4">
            <v>-7.0270339807882912E-5</v>
          </cell>
          <cell r="BH4">
            <v>-1.3745234912634639E-4</v>
          </cell>
          <cell r="BI4">
            <v>-1.7055336342433901E-4</v>
          </cell>
          <cell r="BJ4">
            <v>-1.30672478648035E-4</v>
          </cell>
          <cell r="BK4">
            <v>-1.2085141937877871E-4</v>
          </cell>
          <cell r="BL4">
            <v>-1.6539547521231179E-4</v>
          </cell>
          <cell r="BM4">
            <v>-1.3161335335358141E-4</v>
          </cell>
          <cell r="BN4">
            <v>-1.431482860920881E-4</v>
          </cell>
          <cell r="BO4">
            <v>-1.112562989299799E-4</v>
          </cell>
          <cell r="BP4">
            <v>-9.1239342129810578E-5</v>
          </cell>
          <cell r="BQ4">
            <v>-9.1239342129810578E-5</v>
          </cell>
          <cell r="BR4">
            <v>-9.4201737819527115E-5</v>
          </cell>
          <cell r="BS4">
            <v>-7.376734471571283E-5</v>
          </cell>
          <cell r="BT4">
            <v>-6.3772930161737264E-5</v>
          </cell>
          <cell r="BU4">
            <v>-4.3275503051435301E-5</v>
          </cell>
          <cell r="BV4">
            <v>-9.4617227654614702E-5</v>
          </cell>
          <cell r="BW4">
            <v>-1.0431063832924081E-4</v>
          </cell>
          <cell r="BX4">
            <v>-2.681815457407694E-4</v>
          </cell>
          <cell r="BY4">
            <v>-1.1894835877038319E-5</v>
          </cell>
          <cell r="BZ4">
            <v>-4.0040659421486473E-5</v>
          </cell>
          <cell r="CA4">
            <v>-4.0670433110042028E-5</v>
          </cell>
          <cell r="CB4">
            <v>-1.0979251980835261E-4</v>
          </cell>
          <cell r="CC4">
            <v>-2.268149966292172E-5</v>
          </cell>
          <cell r="CD4">
            <v>-1.089062705620463E-4</v>
          </cell>
          <cell r="CE4">
            <v>-7.9357913114068914E-5</v>
          </cell>
        </row>
        <row r="5">
          <cell r="A5" t="str">
            <v>EURSEK Curncy</v>
          </cell>
          <cell r="B5">
            <v>-1.5076927508051729E-6</v>
          </cell>
          <cell r="C5">
            <v>1.059666439115111E-5</v>
          </cell>
          <cell r="D5">
            <v>2.780893293551892E-5</v>
          </cell>
          <cell r="E5">
            <v>2.2208576471341191E-5</v>
          </cell>
          <cell r="F5">
            <v>-8.1787528889280107E-6</v>
          </cell>
          <cell r="G5">
            <v>5.7458824369111327E-6</v>
          </cell>
          <cell r="H5">
            <v>-7.5142258438864621E-6</v>
          </cell>
          <cell r="I5">
            <v>-2.167331185925264E-6</v>
          </cell>
          <cell r="J5">
            <v>2.88974446679199E-6</v>
          </cell>
          <cell r="K5">
            <v>6.1419112563166452E-7</v>
          </cell>
          <cell r="L5">
            <v>-7.722097827272133E-6</v>
          </cell>
          <cell r="M5">
            <v>6.9351897827398016E-6</v>
          </cell>
          <cell r="N5">
            <v>1.9176409631229409E-5</v>
          </cell>
          <cell r="O5">
            <v>1.7273603795157172E-5</v>
          </cell>
          <cell r="P5">
            <v>8.8430059955368712E-6</v>
          </cell>
          <cell r="Q5">
            <v>9.2911716126256533E-6</v>
          </cell>
          <cell r="R5">
            <v>1.765777744160333E-5</v>
          </cell>
          <cell r="S5">
            <v>1.5764807435398771E-5</v>
          </cell>
          <cell r="T5">
            <v>1.7371516460721801E-5</v>
          </cell>
          <cell r="U5">
            <v>6.0275829752251899E-6</v>
          </cell>
          <cell r="V5">
            <v>-1.48833237002234E-6</v>
          </cell>
          <cell r="W5">
            <v>-2.1480340143623271E-7</v>
          </cell>
          <cell r="X5">
            <v>1.0560388674844949E-5</v>
          </cell>
          <cell r="Y5">
            <v>-8.8447555817008149E-7</v>
          </cell>
          <cell r="Z5">
            <v>-7.3138207816747048E-7</v>
          </cell>
          <cell r="AA5">
            <v>-2.4354629666227682E-6</v>
          </cell>
          <cell r="AB5">
            <v>-5.7448615232775931E-6</v>
          </cell>
          <cell r="AC5">
            <v>-9.2673237130196801E-6</v>
          </cell>
          <cell r="AD5">
            <v>2.5290071530469649E-7</v>
          </cell>
          <cell r="AE5">
            <v>-1.148008150811422E-7</v>
          </cell>
          <cell r="AF5">
            <v>3.8281020815604791E-7</v>
          </cell>
          <cell r="AG5">
            <v>3.5168243554139532E-7</v>
          </cell>
          <cell r="AH5">
            <v>-4.5624367094709378E-7</v>
          </cell>
          <cell r="AI5">
            <v>-1.8334658021769559E-6</v>
          </cell>
          <cell r="AJ5">
            <v>-3.353619602965555E-6</v>
          </cell>
          <cell r="AK5">
            <v>-6.9263458469138068E-6</v>
          </cell>
          <cell r="AL5">
            <v>-3.61986349865486E-6</v>
          </cell>
          <cell r="AM5">
            <v>-1.3733514155265069E-5</v>
          </cell>
          <cell r="AN5">
            <v>3.726138162333063E-8</v>
          </cell>
          <cell r="AO5">
            <v>-7.8727674229108298E-6</v>
          </cell>
          <cell r="AP5">
            <v>1.5884222235143029E-7</v>
          </cell>
          <cell r="AQ5">
            <v>-2.2154823371275651E-7</v>
          </cell>
          <cell r="AR5">
            <v>-2.4543018261669612E-7</v>
          </cell>
          <cell r="AS5">
            <v>-1.3124924849262559E-6</v>
          </cell>
          <cell r="AT5">
            <v>-2.360715140471558E-6</v>
          </cell>
          <cell r="AU5">
            <v>-4.5248921784381441E-5</v>
          </cell>
          <cell r="AV5">
            <v>-4.9131654014662198E-5</v>
          </cell>
          <cell r="AW5">
            <v>-4.4491266797730777E-5</v>
          </cell>
          <cell r="AX5">
            <v>-6.3000753756871074E-5</v>
          </cell>
          <cell r="AY5">
            <v>-4.8105976526865868E-5</v>
          </cell>
          <cell r="AZ5">
            <v>-6.4414368608514707E-5</v>
          </cell>
          <cell r="BA5">
            <v>-4.9083629691961318E-5</v>
          </cell>
          <cell r="BB5">
            <v>-4.4592185946878788E-5</v>
          </cell>
          <cell r="BC5">
            <v>-4.7239147098006789E-5</v>
          </cell>
          <cell r="BD5">
            <v>-3.4017484219520698E-5</v>
          </cell>
          <cell r="BE5">
            <v>-4.9083629691961318E-5</v>
          </cell>
          <cell r="BF5">
            <v>2.3014886078666361E-4</v>
          </cell>
          <cell r="BG5">
            <v>-2.7019734719207931E-5</v>
          </cell>
          <cell r="BH5">
            <v>-5.8558001760544697E-5</v>
          </cell>
          <cell r="BI5">
            <v>-5.3003984802215823E-5</v>
          </cell>
          <cell r="BJ5">
            <v>-5.8172509161973703E-5</v>
          </cell>
          <cell r="BK5">
            <v>-5.2686337334553483E-5</v>
          </cell>
          <cell r="BL5">
            <v>-9.8544063087318339E-5</v>
          </cell>
          <cell r="BM5">
            <v>-5.9897912721338287E-5</v>
          </cell>
          <cell r="BN5">
            <v>-5.2085093038024022E-5</v>
          </cell>
          <cell r="BO5">
            <v>-4.3712165577556817E-5</v>
          </cell>
          <cell r="BP5">
            <v>-4.031149761892974E-5</v>
          </cell>
          <cell r="BQ5">
            <v>-4.031149761892974E-5</v>
          </cell>
          <cell r="BR5">
            <v>-4.0986830395244039E-5</v>
          </cell>
          <cell r="BS5">
            <v>-3.2096173632069299E-5</v>
          </cell>
          <cell r="BT5">
            <v>-2.8921769288801511E-5</v>
          </cell>
          <cell r="BU5">
            <v>-1.8103807861809081E-5</v>
          </cell>
          <cell r="BV5">
            <v>-3.9916798170715152E-5</v>
          </cell>
          <cell r="BW5">
            <v>-4.6077106137351267E-5</v>
          </cell>
          <cell r="BX5">
            <v>-8.4197481493056438E-5</v>
          </cell>
          <cell r="BY5">
            <v>4.4348348103090698E-6</v>
          </cell>
          <cell r="BZ5">
            <v>-1.2013661807894001E-5</v>
          </cell>
          <cell r="CA5">
            <v>1.587483819121879E-6</v>
          </cell>
          <cell r="CB5">
            <v>-7.0265712080942868E-5</v>
          </cell>
          <cell r="CC5">
            <v>-9.5209552413156847E-6</v>
          </cell>
          <cell r="CD5">
            <v>-4.4996318969483937E-5</v>
          </cell>
          <cell r="CE5">
            <v>-3.0261503041862899E-5</v>
          </cell>
        </row>
        <row r="6">
          <cell r="A6" t="str">
            <v>EURUSD Curncy</v>
          </cell>
          <cell r="B6">
            <v>6.9534506471192773E-6</v>
          </cell>
          <cell r="C6">
            <v>2.7848565559874018E-6</v>
          </cell>
          <cell r="D6">
            <v>-8.0634108407088828E-6</v>
          </cell>
          <cell r="E6">
            <v>-8.1787528889280107E-6</v>
          </cell>
          <cell r="F6">
            <v>3.171978169728321E-5</v>
          </cell>
          <cell r="G6">
            <v>1.673318501790359E-5</v>
          </cell>
          <cell r="H6">
            <v>1.2400359289102809E-5</v>
          </cell>
          <cell r="I6">
            <v>2.0049218855730251E-5</v>
          </cell>
          <cell r="J6">
            <v>8.5386880682701904E-6</v>
          </cell>
          <cell r="K6">
            <v>1.6028881336011241E-5</v>
          </cell>
          <cell r="L6">
            <v>3.0582026986683721E-5</v>
          </cell>
          <cell r="M6">
            <v>1.582799697534817E-5</v>
          </cell>
          <cell r="N6">
            <v>1.074633243178158E-6</v>
          </cell>
          <cell r="O6">
            <v>-1.2713545209579E-6</v>
          </cell>
          <cell r="P6">
            <v>8.9774381587864637E-6</v>
          </cell>
          <cell r="Q6">
            <v>4.4645665957692689E-7</v>
          </cell>
          <cell r="R6">
            <v>9.9634649814917317E-6</v>
          </cell>
          <cell r="S6">
            <v>1.310886255748682E-5</v>
          </cell>
          <cell r="T6">
            <v>-1.5076779013453781E-6</v>
          </cell>
          <cell r="U6">
            <v>2.0396707938366179E-5</v>
          </cell>
          <cell r="V6">
            <v>2.2626303691398821E-5</v>
          </cell>
          <cell r="W6">
            <v>1.6302195781760122E-5</v>
          </cell>
          <cell r="X6">
            <v>1.234163465177651E-5</v>
          </cell>
          <cell r="Y6">
            <v>9.3345318516118333E-7</v>
          </cell>
          <cell r="Z6">
            <v>5.0878122246018799E-7</v>
          </cell>
          <cell r="AA6">
            <v>9.9434162321757657E-7</v>
          </cell>
          <cell r="AB6">
            <v>5.932797386127408E-6</v>
          </cell>
          <cell r="AC6">
            <v>1.1646417622772059E-5</v>
          </cell>
          <cell r="AD6">
            <v>4.1946737245706012E-7</v>
          </cell>
          <cell r="AE6">
            <v>1.789434862245179E-6</v>
          </cell>
          <cell r="AF6">
            <v>2.2473778963381158E-6</v>
          </cell>
          <cell r="AG6">
            <v>5.1290011431791398E-6</v>
          </cell>
          <cell r="AH6">
            <v>7.5376188709552284E-6</v>
          </cell>
          <cell r="AI6">
            <v>1.2651276130747721E-5</v>
          </cell>
          <cell r="AJ6">
            <v>1.5620661199988891E-5</v>
          </cell>
          <cell r="AK6">
            <v>5.2325158503388064E-6</v>
          </cell>
          <cell r="AL6">
            <v>2.0256367639899259E-6</v>
          </cell>
          <cell r="AM6">
            <v>1.006412286311335E-5</v>
          </cell>
          <cell r="AN6">
            <v>1.8843210259613621E-7</v>
          </cell>
          <cell r="AO6">
            <v>1.2032583410796389E-5</v>
          </cell>
          <cell r="AP6">
            <v>6.8554950336847251E-7</v>
          </cell>
          <cell r="AQ6">
            <v>7.8274594450636863E-7</v>
          </cell>
          <cell r="AR6">
            <v>8.2597565172158086E-6</v>
          </cell>
          <cell r="AS6">
            <v>1.0011752230932429E-6</v>
          </cell>
          <cell r="AT6">
            <v>5.9816773231107291E-6</v>
          </cell>
          <cell r="AU6">
            <v>2.7070374168375259E-5</v>
          </cell>
          <cell r="AV6">
            <v>2.9236683860634231E-5</v>
          </cell>
          <cell r="AW6">
            <v>2.6088403504727611E-5</v>
          </cell>
          <cell r="AX6">
            <v>3.381478427998505E-5</v>
          </cell>
          <cell r="AY6">
            <v>2.7400252766353931E-5</v>
          </cell>
          <cell r="AZ6">
            <v>4.66096056794973E-5</v>
          </cell>
          <cell r="BA6">
            <v>2.8192913693783279E-5</v>
          </cell>
          <cell r="BB6">
            <v>1.8519666204325952E-5</v>
          </cell>
          <cell r="BC6">
            <v>2.32093503748209E-5</v>
          </cell>
          <cell r="BD6">
            <v>1.3839121893939499E-5</v>
          </cell>
          <cell r="BE6">
            <v>2.8192913693783279E-5</v>
          </cell>
          <cell r="BF6">
            <v>-6.8222528246257255E-5</v>
          </cell>
          <cell r="BG6">
            <v>1.0678743219814759E-5</v>
          </cell>
          <cell r="BH6">
            <v>3.4621995071784492E-5</v>
          </cell>
          <cell r="BI6">
            <v>1.6059951258799951E-5</v>
          </cell>
          <cell r="BJ6">
            <v>2.8148759130365122E-5</v>
          </cell>
          <cell r="BK6">
            <v>3.2755400359046961E-5</v>
          </cell>
          <cell r="BL6">
            <v>5.9600274482268273E-5</v>
          </cell>
          <cell r="BM6">
            <v>3.5935869191993907E-5</v>
          </cell>
          <cell r="BN6">
            <v>3.8601563349431027E-5</v>
          </cell>
          <cell r="BO6">
            <v>2.352902501167354E-5</v>
          </cell>
          <cell r="BP6">
            <v>1.7141038291020901E-5</v>
          </cell>
          <cell r="BQ6">
            <v>1.7141038291020901E-5</v>
          </cell>
          <cell r="BR6">
            <v>1.6306582095715419E-5</v>
          </cell>
          <cell r="BS6">
            <v>1.1020548180925299E-5</v>
          </cell>
          <cell r="BT6">
            <v>3.2278753795646892E-5</v>
          </cell>
          <cell r="BU6">
            <v>1.9347564089561441E-5</v>
          </cell>
          <cell r="BV6">
            <v>3.0019212674121981E-5</v>
          </cell>
          <cell r="BW6">
            <v>4.3397221136730013E-5</v>
          </cell>
          <cell r="BX6">
            <v>3.2947710750690488E-5</v>
          </cell>
          <cell r="BY6">
            <v>-9.8430994859769064E-6</v>
          </cell>
          <cell r="BZ6">
            <v>2.0074017751184458E-5</v>
          </cell>
          <cell r="CA6">
            <v>-5.6176475857092014E-7</v>
          </cell>
          <cell r="CB6">
            <v>1.3989391039549721E-5</v>
          </cell>
          <cell r="CC6">
            <v>2.7148524732592679E-5</v>
          </cell>
          <cell r="CD6">
            <v>6.6785792968833627E-5</v>
          </cell>
          <cell r="CE6">
            <v>5.1520025384243733E-5</v>
          </cell>
        </row>
        <row r="7">
          <cell r="A7" t="str">
            <v>EURILS Curncy</v>
          </cell>
          <cell r="B7">
            <v>6.9656071098392988E-6</v>
          </cell>
          <cell r="C7">
            <v>1.4827784788435799E-5</v>
          </cell>
          <cell r="D7">
            <v>2.2737592824071468E-5</v>
          </cell>
          <cell r="E7">
            <v>5.7458824369111327E-6</v>
          </cell>
          <cell r="F7">
            <v>1.673318501790359E-5</v>
          </cell>
          <cell r="G7">
            <v>4.0915831098117373E-5</v>
          </cell>
          <cell r="H7">
            <v>9.6016961744406746E-6</v>
          </cell>
          <cell r="I7">
            <v>1.5585864021612511E-5</v>
          </cell>
          <cell r="J7">
            <v>1.2413939108325E-5</v>
          </cell>
          <cell r="K7">
            <v>1.347361252692494E-5</v>
          </cell>
          <cell r="L7">
            <v>1.5966484634147869E-5</v>
          </cell>
          <cell r="M7">
            <v>2.0528902598797841E-5</v>
          </cell>
          <cell r="N7">
            <v>2.0360044619247152E-5</v>
          </cell>
          <cell r="O7">
            <v>1.7062475939087431E-5</v>
          </cell>
          <cell r="P7">
            <v>2.3139381436808628E-5</v>
          </cell>
          <cell r="Q7">
            <v>8.2979028891763391E-6</v>
          </cell>
          <cell r="R7">
            <v>2.704651953611679E-5</v>
          </cell>
          <cell r="S7">
            <v>2.8539445155389939E-5</v>
          </cell>
          <cell r="T7">
            <v>1.363902550067525E-5</v>
          </cell>
          <cell r="U7">
            <v>2.271497449566919E-5</v>
          </cell>
          <cell r="V7">
            <v>1.7544905328138648E-5</v>
          </cell>
          <cell r="W7">
            <v>1.5392108288698481E-5</v>
          </cell>
          <cell r="X7">
            <v>7.6911860122427484E-6</v>
          </cell>
          <cell r="Y7">
            <v>-7.6165703329451276E-7</v>
          </cell>
          <cell r="Z7">
            <v>-1.384286764157293E-6</v>
          </cell>
          <cell r="AA7">
            <v>-4.893359645363464E-6</v>
          </cell>
          <cell r="AB7">
            <v>-1.0620948598569961E-5</v>
          </cell>
          <cell r="AC7">
            <v>-1.621937669798861E-5</v>
          </cell>
          <cell r="AD7">
            <v>3.7715697769165319E-7</v>
          </cell>
          <cell r="AE7">
            <v>3.7397456079831312E-7</v>
          </cell>
          <cell r="AF7">
            <v>1.1067762952524061E-6</v>
          </cell>
          <cell r="AG7">
            <v>1.2839058142921059E-6</v>
          </cell>
          <cell r="AH7">
            <v>7.589449537816607E-7</v>
          </cell>
          <cell r="AI7">
            <v>-7.2206662802768146E-7</v>
          </cell>
          <cell r="AJ7">
            <v>-3.9169568216114416E-6</v>
          </cell>
          <cell r="AK7">
            <v>-1.0115421886229109E-5</v>
          </cell>
          <cell r="AL7">
            <v>-4.3521031384655924E-6</v>
          </cell>
          <cell r="AM7">
            <v>-1.6144395195477661E-5</v>
          </cell>
          <cell r="AN7">
            <v>4.2140238809557399E-8</v>
          </cell>
          <cell r="AO7">
            <v>-5.8192354798144397E-6</v>
          </cell>
          <cell r="AP7">
            <v>-2.2943123138864191E-7</v>
          </cell>
          <cell r="AQ7">
            <v>-7.5326682568144244E-7</v>
          </cell>
          <cell r="AR7">
            <v>2.1975813281737941E-7</v>
          </cell>
          <cell r="AS7">
            <v>-2.4607480985422199E-6</v>
          </cell>
          <cell r="AT7">
            <v>-2.7322059932307372E-6</v>
          </cell>
          <cell r="AU7">
            <v>-4.1600965200785997E-5</v>
          </cell>
          <cell r="AV7">
            <v>-4.8382118603461808E-5</v>
          </cell>
          <cell r="AW7">
            <v>-3.7758481261030288E-5</v>
          </cell>
          <cell r="AX7">
            <v>-5.7149259035883012E-5</v>
          </cell>
          <cell r="AY7">
            <v>-4.051889009072688E-5</v>
          </cell>
          <cell r="AZ7">
            <v>-3.20213881557151E-5</v>
          </cell>
          <cell r="BA7">
            <v>-3.757667181519845E-5</v>
          </cell>
          <cell r="BB7">
            <v>-4.2672339290503842E-5</v>
          </cell>
          <cell r="BC7">
            <v>-4.439175231896473E-5</v>
          </cell>
          <cell r="BD7">
            <v>-3.4733149977220883E-5</v>
          </cell>
          <cell r="BE7">
            <v>-3.757667181519845E-5</v>
          </cell>
          <cell r="BF7">
            <v>2.014778977124421E-4</v>
          </cell>
          <cell r="BG7">
            <v>-6.7899503336061592E-6</v>
          </cell>
          <cell r="BH7">
            <v>-3.3668083440620817E-5</v>
          </cell>
          <cell r="BI7">
            <v>-5.811370009709338E-5</v>
          </cell>
          <cell r="BJ7">
            <v>-4.9311339297211789E-5</v>
          </cell>
          <cell r="BK7">
            <v>-4.7038884032935491E-5</v>
          </cell>
          <cell r="BL7">
            <v>-3.6934377703251558E-5</v>
          </cell>
          <cell r="BM7">
            <v>-3.9999547631980881E-5</v>
          </cell>
          <cell r="BN7">
            <v>-4.0474564464836139E-5</v>
          </cell>
          <cell r="BO7">
            <v>-3.5861068880978098E-5</v>
          </cell>
          <cell r="BP7">
            <v>-3.6459631305751793E-5</v>
          </cell>
          <cell r="BQ7">
            <v>-3.6459631305751793E-5</v>
          </cell>
          <cell r="BR7">
            <v>-3.7932007364613018E-5</v>
          </cell>
          <cell r="BS7">
            <v>-3.0605104261145699E-5</v>
          </cell>
          <cell r="BT7">
            <v>-2.068868256586682E-6</v>
          </cell>
          <cell r="BU7">
            <v>-5.9524738791902631E-6</v>
          </cell>
          <cell r="BV7">
            <v>-2.9219726344931279E-5</v>
          </cell>
          <cell r="BW7">
            <v>-1.8193471900628651E-5</v>
          </cell>
          <cell r="BX7">
            <v>-3.4552957588746481E-5</v>
          </cell>
          <cell r="BY7">
            <v>-9.1634493076388518E-7</v>
          </cell>
          <cell r="BZ7">
            <v>2.00382231551468E-6</v>
          </cell>
          <cell r="CA7">
            <v>4.085538232667732E-6</v>
          </cell>
          <cell r="CB7">
            <v>-4.9030752131336802E-5</v>
          </cell>
          <cell r="CC7">
            <v>1.4780193372725401E-6</v>
          </cell>
          <cell r="CD7">
            <v>2.800223838918471E-6</v>
          </cell>
          <cell r="CE7">
            <v>4.0920605268267011E-6</v>
          </cell>
        </row>
        <row r="8">
          <cell r="A8" t="str">
            <v>EURJPY Curncy</v>
          </cell>
          <cell r="B8">
            <v>1.051927368562673E-5</v>
          </cell>
          <cell r="C8">
            <v>-1.61554280872288E-7</v>
          </cell>
          <cell r="D8">
            <v>-1.200165152551053E-5</v>
          </cell>
          <cell r="E8">
            <v>-7.5142258438864621E-6</v>
          </cell>
          <cell r="F8">
            <v>1.2400359289102809E-5</v>
          </cell>
          <cell r="G8">
            <v>9.6016961744406746E-6</v>
          </cell>
          <cell r="H8">
            <v>3.5265694597659922E-5</v>
          </cell>
          <cell r="I8">
            <v>1.023527323761366E-5</v>
          </cell>
          <cell r="J8">
            <v>5.1015697940178283E-6</v>
          </cell>
          <cell r="K8">
            <v>6.8451125131340606E-6</v>
          </cell>
          <cell r="L8">
            <v>1.2217729490963519E-5</v>
          </cell>
          <cell r="M8">
            <v>-7.8779475271229268E-7</v>
          </cell>
          <cell r="N8">
            <v>-3.8479958976288789E-6</v>
          </cell>
          <cell r="O8">
            <v>-1.9827348137804981E-6</v>
          </cell>
          <cell r="P8">
            <v>-1.307468782749672E-5</v>
          </cell>
          <cell r="Q8">
            <v>-5.9333383414683936E-6</v>
          </cell>
          <cell r="R8">
            <v>-9.2358563366617665E-6</v>
          </cell>
          <cell r="S8">
            <v>-8.8509241067255305E-6</v>
          </cell>
          <cell r="T8">
            <v>-1.236889617552583E-5</v>
          </cell>
          <cell r="U8">
            <v>7.2227004722604172E-6</v>
          </cell>
          <cell r="V8">
            <v>6.0237306190389083E-6</v>
          </cell>
          <cell r="W8">
            <v>8.6795357403410037E-6</v>
          </cell>
          <cell r="X8">
            <v>4.1166636905756509E-7</v>
          </cell>
          <cell r="Y8">
            <v>4.2196926599278907E-8</v>
          </cell>
          <cell r="Z8">
            <v>-2.4966412990549042E-6</v>
          </cell>
          <cell r="AA8">
            <v>-8.2187265143068834E-6</v>
          </cell>
          <cell r="AB8">
            <v>-1.506590650284619E-5</v>
          </cell>
          <cell r="AC8">
            <v>-3.7508883105260808E-5</v>
          </cell>
          <cell r="AD8">
            <v>-3.5832328709708301E-7</v>
          </cell>
          <cell r="AE8">
            <v>-8.9738662420525382E-7</v>
          </cell>
          <cell r="AF8">
            <v>-2.4171247102325111E-6</v>
          </cell>
          <cell r="AG8">
            <v>-6.8445932575280684E-6</v>
          </cell>
          <cell r="AH8">
            <v>-1.1255549565653261E-5</v>
          </cell>
          <cell r="AI8">
            <v>-2.219099932290555E-5</v>
          </cell>
          <cell r="AJ8">
            <v>-2.9251625463639531E-5</v>
          </cell>
          <cell r="AK8">
            <v>-1.4918576501896629E-5</v>
          </cell>
          <cell r="AL8">
            <v>-1.5748741819243399E-6</v>
          </cell>
          <cell r="AM8">
            <v>-8.637700846622201E-6</v>
          </cell>
          <cell r="AN8">
            <v>-3.0635659459520468E-7</v>
          </cell>
          <cell r="AO8">
            <v>-8.3421920569195834E-6</v>
          </cell>
          <cell r="AP8">
            <v>-1.5799722499601469E-6</v>
          </cell>
          <cell r="AQ8">
            <v>-1.837958681634921E-6</v>
          </cell>
          <cell r="AR8">
            <v>-1.6250870224342099E-5</v>
          </cell>
          <cell r="AS8">
            <v>-2.3855414011341518E-6</v>
          </cell>
          <cell r="AT8">
            <v>-1.255981495533203E-5</v>
          </cell>
          <cell r="AU8">
            <v>2.238933217024169E-5</v>
          </cell>
          <cell r="AV8">
            <v>1.7018370854116E-5</v>
          </cell>
          <cell r="AW8">
            <v>2.7442271118439181E-5</v>
          </cell>
          <cell r="AX8">
            <v>3.5297003706134559E-5</v>
          </cell>
          <cell r="AY8">
            <v>3.0517922347146792E-5</v>
          </cell>
          <cell r="AZ8">
            <v>6.8473235181575962E-5</v>
          </cell>
          <cell r="BA8">
            <v>3.4073740161202907E-5</v>
          </cell>
          <cell r="BB8">
            <v>2.195371731328347E-5</v>
          </cell>
          <cell r="BC8">
            <v>3.0328547281007881E-5</v>
          </cell>
          <cell r="BD8">
            <v>2.118615305805191E-5</v>
          </cell>
          <cell r="BE8">
            <v>3.4073740161202907E-5</v>
          </cell>
          <cell r="BF8">
            <v>-1.5650885603508169E-4</v>
          </cell>
          <cell r="BG8">
            <v>6.6205296079061244E-6</v>
          </cell>
          <cell r="BH8">
            <v>5.5852943224114082E-5</v>
          </cell>
          <cell r="BI8">
            <v>4.5112372669852942E-5</v>
          </cell>
          <cell r="BJ8">
            <v>2.831934694857723E-5</v>
          </cell>
          <cell r="BK8">
            <v>1.334312512702083E-5</v>
          </cell>
          <cell r="BL8">
            <v>4.5283740661361527E-5</v>
          </cell>
          <cell r="BM8">
            <v>4.8506711537525263E-5</v>
          </cell>
          <cell r="BN8">
            <v>4.8274844016431248E-5</v>
          </cell>
          <cell r="BO8">
            <v>3.5989529122819118E-5</v>
          </cell>
          <cell r="BP8">
            <v>3.9225530506563129E-5</v>
          </cell>
          <cell r="BQ8">
            <v>3.9225530506563129E-5</v>
          </cell>
          <cell r="BR8">
            <v>3.8646621602798777E-5</v>
          </cell>
          <cell r="BS8">
            <v>3.3035728707073278E-5</v>
          </cell>
          <cell r="BT8">
            <v>2.4498267856088839E-5</v>
          </cell>
          <cell r="BU8">
            <v>1.7635489360718682E-5</v>
          </cell>
          <cell r="BV8">
            <v>2.511756488884108E-5</v>
          </cell>
          <cell r="BW8">
            <v>2.894185307738165E-5</v>
          </cell>
          <cell r="BX8">
            <v>8.0048108236648339E-5</v>
          </cell>
          <cell r="BY8">
            <v>-1.334920455386374E-6</v>
          </cell>
          <cell r="BZ8">
            <v>1.0046982622505931E-5</v>
          </cell>
          <cell r="CA8">
            <v>1.356384587036199E-5</v>
          </cell>
          <cell r="CB8">
            <v>2.64593049943546E-5</v>
          </cell>
          <cell r="CC8">
            <v>-6.9740250945882418E-7</v>
          </cell>
          <cell r="CD8">
            <v>3.1079714003168328E-5</v>
          </cell>
          <cell r="CE8">
            <v>3.6964950653430942E-5</v>
          </cell>
        </row>
        <row r="9">
          <cell r="A9" t="str">
            <v>EURCNH Curncy</v>
          </cell>
          <cell r="B9">
            <v>5.8818522423874013E-6</v>
          </cell>
          <cell r="C9">
            <v>1.022215137489777E-5</v>
          </cell>
          <cell r="D9">
            <v>4.0510809366066877E-6</v>
          </cell>
          <cell r="E9">
            <v>-2.167331185925264E-6</v>
          </cell>
          <cell r="F9">
            <v>2.0049218855730251E-5</v>
          </cell>
          <cell r="G9">
            <v>1.5585864021612511E-5</v>
          </cell>
          <cell r="H9">
            <v>1.023527323761366E-5</v>
          </cell>
          <cell r="I9">
            <v>2.5810203016049991E-5</v>
          </cell>
          <cell r="J9">
            <v>1.4400230657589939E-5</v>
          </cell>
          <cell r="K9">
            <v>1.463413544308758E-5</v>
          </cell>
          <cell r="L9">
            <v>1.9624197299899051E-5</v>
          </cell>
          <cell r="M9">
            <v>1.468437785925669E-5</v>
          </cell>
          <cell r="N9">
            <v>1.0726528587012529E-5</v>
          </cell>
          <cell r="O9">
            <v>9.4852588629688631E-6</v>
          </cell>
          <cell r="P9">
            <v>1.1900865552270139E-5</v>
          </cell>
          <cell r="Q9">
            <v>6.0162797238918466E-6</v>
          </cell>
          <cell r="R9">
            <v>2.1688993187443681E-5</v>
          </cell>
          <cell r="S9">
            <v>1.5340821750340651E-5</v>
          </cell>
          <cell r="T9">
            <v>1.426256473310256E-5</v>
          </cell>
          <cell r="U9">
            <v>1.903162778167828E-5</v>
          </cell>
          <cell r="V9">
            <v>1.7348665909344919E-5</v>
          </cell>
          <cell r="W9">
            <v>1.7112154389154501E-5</v>
          </cell>
          <cell r="X9">
            <v>7.6417495755091794E-6</v>
          </cell>
          <cell r="Y9">
            <v>1.8755486142372509E-7</v>
          </cell>
          <cell r="Z9">
            <v>-5.3143562616017866E-7</v>
          </cell>
          <cell r="AA9">
            <v>-1.47952924743594E-6</v>
          </cell>
          <cell r="AB9">
            <v>8.324870140938862E-8</v>
          </cell>
          <cell r="AC9">
            <v>4.1331438084353268E-7</v>
          </cell>
          <cell r="AD9">
            <v>2.4116291976823768E-7</v>
          </cell>
          <cell r="AE9">
            <v>9.4906205156973821E-7</v>
          </cell>
          <cell r="AF9">
            <v>1.441973546045667E-6</v>
          </cell>
          <cell r="AG9">
            <v>3.1453192962546841E-6</v>
          </cell>
          <cell r="AH9">
            <v>4.4762329386608774E-6</v>
          </cell>
          <cell r="AI9">
            <v>7.6675310746612893E-6</v>
          </cell>
          <cell r="AJ9">
            <v>9.8363836969338857E-6</v>
          </cell>
          <cell r="AK9">
            <v>-3.5769087545717298E-7</v>
          </cell>
          <cell r="AL9">
            <v>-7.0959360075956528E-7</v>
          </cell>
          <cell r="AM9">
            <v>9.8733060281307699E-7</v>
          </cell>
          <cell r="AN9">
            <v>1.4187870583386901E-7</v>
          </cell>
          <cell r="AO9">
            <v>6.7969597644906274E-6</v>
          </cell>
          <cell r="AP9">
            <v>2.57130353384454E-7</v>
          </cell>
          <cell r="AQ9">
            <v>3.3951740319533502E-7</v>
          </cell>
          <cell r="AR9">
            <v>5.4478105247749541E-6</v>
          </cell>
          <cell r="AS9">
            <v>1.047339328767137E-6</v>
          </cell>
          <cell r="AT9">
            <v>2.8198760687164729E-6</v>
          </cell>
          <cell r="AU9">
            <v>-2.5225044696476909E-6</v>
          </cell>
          <cell r="AV9">
            <v>-5.9874501201089633E-6</v>
          </cell>
          <cell r="AW9">
            <v>-3.4261093051411322E-7</v>
          </cell>
          <cell r="AX9">
            <v>-2.381277818448087E-6</v>
          </cell>
          <cell r="AY9">
            <v>3.9976808563481397E-6</v>
          </cell>
          <cell r="AZ9">
            <v>1.113947152331957E-5</v>
          </cell>
          <cell r="BA9">
            <v>7.1894611915774866E-6</v>
          </cell>
          <cell r="BB9">
            <v>-4.0279986927342998E-6</v>
          </cell>
          <cell r="BC9">
            <v>-7.1216496474222141E-7</v>
          </cell>
          <cell r="BD9">
            <v>-2.818846970345708E-6</v>
          </cell>
          <cell r="BE9">
            <v>7.1894611915774866E-6</v>
          </cell>
          <cell r="BF9">
            <v>2.4976565408337038E-5</v>
          </cell>
          <cell r="BG9">
            <v>-2.167403087358212E-6</v>
          </cell>
          <cell r="BH9">
            <v>1.7832181047669771E-6</v>
          </cell>
          <cell r="BI9">
            <v>-3.1856908990588459E-6</v>
          </cell>
          <cell r="BJ9">
            <v>9.2379118990248974E-7</v>
          </cell>
          <cell r="BK9">
            <v>3.6651103984632501E-7</v>
          </cell>
          <cell r="BL9">
            <v>3.2082081278747569E-5</v>
          </cell>
          <cell r="BM9">
            <v>5.4508655578058596E-6</v>
          </cell>
          <cell r="BN9">
            <v>-2.541556041940811E-6</v>
          </cell>
          <cell r="BO9">
            <v>1.3822089516486659E-6</v>
          </cell>
          <cell r="BP9">
            <v>1.5767207183432849E-6</v>
          </cell>
          <cell r="BQ9">
            <v>1.5767207183432849E-6</v>
          </cell>
          <cell r="BR9">
            <v>-1.692153721503412E-6</v>
          </cell>
          <cell r="BS9">
            <v>-1.5770344878984741E-6</v>
          </cell>
          <cell r="BT9">
            <v>-9.0397734413961962E-6</v>
          </cell>
          <cell r="BU9">
            <v>-1.359499052312651E-5</v>
          </cell>
          <cell r="BV9">
            <v>3.4457798853361038E-6</v>
          </cell>
          <cell r="BW9">
            <v>-9.9556976155483646E-8</v>
          </cell>
          <cell r="BX9">
            <v>7.5730646921469473E-6</v>
          </cell>
          <cell r="BY9">
            <v>-3.2521670199512479E-6</v>
          </cell>
          <cell r="BZ9">
            <v>1.220644153894396E-6</v>
          </cell>
          <cell r="CA9">
            <v>-9.4478406157334764E-6</v>
          </cell>
          <cell r="CB9">
            <v>-4.3614016422997066E-6</v>
          </cell>
          <cell r="CC9">
            <v>1.245158553776115E-5</v>
          </cell>
          <cell r="CD9">
            <v>3.3399787979243199E-5</v>
          </cell>
          <cell r="CE9">
            <v>1.4552839196543889E-5</v>
          </cell>
        </row>
        <row r="10">
          <cell r="A10" t="str">
            <v>EURKRW Curncy</v>
          </cell>
          <cell r="B10">
            <v>2.9941346457263821E-6</v>
          </cell>
          <cell r="C10">
            <v>9.3552546701077063E-6</v>
          </cell>
          <cell r="D10">
            <v>1.226191881801704E-5</v>
          </cell>
          <cell r="E10">
            <v>2.88974446679199E-6</v>
          </cell>
          <cell r="F10">
            <v>8.5386880682701904E-6</v>
          </cell>
          <cell r="G10">
            <v>1.2413939108325E-5</v>
          </cell>
          <cell r="H10">
            <v>5.1015697940178283E-6</v>
          </cell>
          <cell r="I10">
            <v>1.4400230657589939E-5</v>
          </cell>
          <cell r="J10">
            <v>2.8094218064245869E-5</v>
          </cell>
          <cell r="K10">
            <v>1.130665219807445E-5</v>
          </cell>
          <cell r="L10">
            <v>8.670779215004373E-6</v>
          </cell>
          <cell r="M10">
            <v>1.286883983839834E-5</v>
          </cell>
          <cell r="N10">
            <v>1.562017583756681E-5</v>
          </cell>
          <cell r="O10">
            <v>1.405861534839999E-5</v>
          </cell>
          <cell r="P10">
            <v>1.6121204087525441E-5</v>
          </cell>
          <cell r="Q10">
            <v>1.2092090518010249E-5</v>
          </cell>
          <cell r="R10">
            <v>2.284499625667995E-5</v>
          </cell>
          <cell r="S10">
            <v>1.859396032057724E-5</v>
          </cell>
          <cell r="T10">
            <v>2.0555200275193309E-5</v>
          </cell>
          <cell r="U10">
            <v>1.425208673346719E-5</v>
          </cell>
          <cell r="V10">
            <v>9.8908977825222426E-6</v>
          </cell>
          <cell r="W10">
            <v>1.4602075688325821E-5</v>
          </cell>
          <cell r="X10">
            <v>-1.1372749662380369E-6</v>
          </cell>
          <cell r="Y10">
            <v>-1.8055930862502921E-7</v>
          </cell>
          <cell r="Z10">
            <v>-3.998313452353739E-7</v>
          </cell>
          <cell r="AA10">
            <v>-8.6890802505862521E-7</v>
          </cell>
          <cell r="AB10">
            <v>-2.0031805568511041E-6</v>
          </cell>
          <cell r="AC10">
            <v>1.7552664679827009E-6</v>
          </cell>
          <cell r="AD10">
            <v>5.5501806804495234E-7</v>
          </cell>
          <cell r="AE10">
            <v>1.045622962544736E-7</v>
          </cell>
          <cell r="AF10">
            <v>8.1510016781884952E-7</v>
          </cell>
          <cell r="AG10">
            <v>1.4347562173142661E-6</v>
          </cell>
          <cell r="AH10">
            <v>2.412627459651975E-6</v>
          </cell>
          <cell r="AI10">
            <v>5.3652986757528417E-6</v>
          </cell>
          <cell r="AJ10">
            <v>5.1916211854939393E-6</v>
          </cell>
          <cell r="AK10">
            <v>-4.9846006129102913E-7</v>
          </cell>
          <cell r="AL10">
            <v>-2.684454383950042E-6</v>
          </cell>
          <cell r="AM10">
            <v>-6.3347392752638651E-6</v>
          </cell>
          <cell r="AN10">
            <v>7.1443764554119404E-8</v>
          </cell>
          <cell r="AO10">
            <v>7.0048635914262571E-7</v>
          </cell>
          <cell r="AP10">
            <v>4.5610722225074468E-7</v>
          </cell>
          <cell r="AQ10">
            <v>4.8817123260662422E-7</v>
          </cell>
          <cell r="AR10">
            <v>4.474095692860755E-6</v>
          </cell>
          <cell r="AS10">
            <v>3.8641687685399348E-7</v>
          </cell>
          <cell r="AT10">
            <v>7.0511717001110392E-7</v>
          </cell>
          <cell r="AU10">
            <v>-2.3481072986077191E-5</v>
          </cell>
          <cell r="AV10">
            <v>-2.6476016596963291E-5</v>
          </cell>
          <cell r="AW10">
            <v>-2.4695601827904189E-5</v>
          </cell>
          <cell r="AX10">
            <v>-3.0036572463144869E-5</v>
          </cell>
          <cell r="AY10">
            <v>-2.6509074062917538E-5</v>
          </cell>
          <cell r="AZ10">
            <v>-2.7852884654104871E-5</v>
          </cell>
          <cell r="BA10">
            <v>-2.4739458470872609E-5</v>
          </cell>
          <cell r="BB10">
            <v>-2.7941723879405401E-5</v>
          </cell>
          <cell r="BC10">
            <v>-3.1119284929628832E-5</v>
          </cell>
          <cell r="BD10">
            <v>-2.670672297039654E-5</v>
          </cell>
          <cell r="BE10">
            <v>-2.4739458470872609E-5</v>
          </cell>
          <cell r="BF10">
            <v>1.639444136724176E-4</v>
          </cell>
          <cell r="BG10">
            <v>-6.3253362082602444E-6</v>
          </cell>
          <cell r="BH10">
            <v>-3.1762429552051933E-5</v>
          </cell>
          <cell r="BI10">
            <v>-4.2050809170631838E-5</v>
          </cell>
          <cell r="BJ10">
            <v>-3.0276825006769399E-5</v>
          </cell>
          <cell r="BK10">
            <v>-2.8136543052471589E-5</v>
          </cell>
          <cell r="BL10">
            <v>9.1921593280024097E-5</v>
          </cell>
          <cell r="BM10">
            <v>-3.8696764844499899E-5</v>
          </cell>
          <cell r="BN10">
            <v>-3.8831402157963121E-5</v>
          </cell>
          <cell r="BO10">
            <v>-2.506272363749235E-5</v>
          </cell>
          <cell r="BP10">
            <v>-2.661424306200019E-5</v>
          </cell>
          <cell r="BQ10">
            <v>-2.661424306200019E-5</v>
          </cell>
          <cell r="BR10">
            <v>-2.664396110835005E-5</v>
          </cell>
          <cell r="BS10">
            <v>-2.4018246725229361E-5</v>
          </cell>
          <cell r="BT10">
            <v>-3.831825056320138E-5</v>
          </cell>
          <cell r="BU10">
            <v>-2.192671465721243E-5</v>
          </cell>
          <cell r="BV10">
            <v>-3.2309104380888873E-5</v>
          </cell>
          <cell r="BW10">
            <v>-3.2408991604989057E-5</v>
          </cell>
          <cell r="BX10">
            <v>-3.018200714349828E-5</v>
          </cell>
          <cell r="BY10">
            <v>-4.3836565255512319E-6</v>
          </cell>
          <cell r="BZ10">
            <v>-1.573451763336875E-5</v>
          </cell>
          <cell r="CA10">
            <v>-1.252547297836767E-5</v>
          </cell>
          <cell r="CB10">
            <v>-1.6810726449382701E-5</v>
          </cell>
          <cell r="CC10">
            <v>2.5839238876334789E-6</v>
          </cell>
          <cell r="CD10">
            <v>6.66354754552535E-6</v>
          </cell>
          <cell r="CE10">
            <v>-7.7938975023947958E-6</v>
          </cell>
        </row>
        <row r="11">
          <cell r="A11" t="str">
            <v>EURSGD Curncy</v>
          </cell>
          <cell r="B11">
            <v>3.412666537369948E-6</v>
          </cell>
          <cell r="C11">
            <v>1.0042217039477759E-5</v>
          </cell>
          <cell r="D11">
            <v>9.1255533173502916E-6</v>
          </cell>
          <cell r="E11">
            <v>6.1419112563166452E-7</v>
          </cell>
          <cell r="F11">
            <v>1.6028881336011241E-5</v>
          </cell>
          <cell r="G11">
            <v>1.347361252692494E-5</v>
          </cell>
          <cell r="H11">
            <v>6.8451125131340606E-6</v>
          </cell>
          <cell r="I11">
            <v>1.463413544308758E-5</v>
          </cell>
          <cell r="J11">
            <v>1.130665219807445E-5</v>
          </cell>
          <cell r="K11">
            <v>1.393921303771046E-5</v>
          </cell>
          <cell r="L11">
            <v>1.5569142983848011E-5</v>
          </cell>
          <cell r="M11">
            <v>1.422628136624867E-5</v>
          </cell>
          <cell r="N11">
            <v>1.2459777688650919E-5</v>
          </cell>
          <cell r="O11">
            <v>9.6576108979796848E-6</v>
          </cell>
          <cell r="P11">
            <v>1.4585946090317E-5</v>
          </cell>
          <cell r="Q11">
            <v>7.715168273546547E-6</v>
          </cell>
          <cell r="R11">
            <v>1.7326261926217121E-5</v>
          </cell>
          <cell r="S11">
            <v>1.944824799556281E-5</v>
          </cell>
          <cell r="T11">
            <v>1.2513696306696071E-5</v>
          </cell>
          <cell r="U11">
            <v>1.8458128076336431E-5</v>
          </cell>
          <cell r="V11">
            <v>1.39251158375826E-5</v>
          </cell>
          <cell r="W11">
            <v>1.330087882810226E-5</v>
          </cell>
          <cell r="X11">
            <v>1.007719198821364E-5</v>
          </cell>
          <cell r="Y11">
            <v>3.7004141631041899E-7</v>
          </cell>
          <cell r="Z11">
            <v>6.0073125012493843E-8</v>
          </cell>
          <cell r="AA11">
            <v>-3.4446940008224151E-7</v>
          </cell>
          <cell r="AB11">
            <v>7.0576968926010236E-7</v>
          </cell>
          <cell r="AC11">
            <v>3.5994824304903961E-6</v>
          </cell>
          <cell r="AD11">
            <v>7.2506269017452587E-7</v>
          </cell>
          <cell r="AE11">
            <v>1.251102613087446E-6</v>
          </cell>
          <cell r="AF11">
            <v>1.8675860536869751E-6</v>
          </cell>
          <cell r="AG11">
            <v>3.7356533301364371E-6</v>
          </cell>
          <cell r="AH11">
            <v>5.3165974080615403E-6</v>
          </cell>
          <cell r="AI11">
            <v>9.8566659961201964E-6</v>
          </cell>
          <cell r="AJ11">
            <v>1.29522650329281E-5</v>
          </cell>
          <cell r="AK11">
            <v>2.33768854049916E-7</v>
          </cell>
          <cell r="AL11">
            <v>-5.6068884485835255E-7</v>
          </cell>
          <cell r="AM11">
            <v>6.3977564903659179E-7</v>
          </cell>
          <cell r="AN11">
            <v>1.7745348363439369E-7</v>
          </cell>
          <cell r="AO11">
            <v>4.0150033867332568E-6</v>
          </cell>
          <cell r="AP11">
            <v>4.8668909313553455E-7</v>
          </cell>
          <cell r="AQ11">
            <v>4.7685093872558891E-7</v>
          </cell>
          <cell r="AR11">
            <v>5.8999502949741647E-6</v>
          </cell>
          <cell r="AS11">
            <v>4.6002769730463077E-7</v>
          </cell>
          <cell r="AT11">
            <v>2.6587169044248221E-6</v>
          </cell>
          <cell r="AU11">
            <v>-8.2326750228961933E-6</v>
          </cell>
          <cell r="AV11">
            <v>-5.7779322431303316E-6</v>
          </cell>
          <cell r="AW11">
            <v>-1.009654693700839E-5</v>
          </cell>
          <cell r="AX11">
            <v>-1.279380263140688E-5</v>
          </cell>
          <cell r="AY11">
            <v>-1.061135067199958E-5</v>
          </cell>
          <cell r="AZ11">
            <v>-7.9056102637360121E-6</v>
          </cell>
          <cell r="BA11">
            <v>-9.6572285405445594E-6</v>
          </cell>
          <cell r="BB11">
            <v>-1.414741773253589E-5</v>
          </cell>
          <cell r="BC11">
            <v>-1.293870295132978E-5</v>
          </cell>
          <cell r="BD11">
            <v>-1.315669288470741E-5</v>
          </cell>
          <cell r="BE11">
            <v>-9.6572285405445594E-6</v>
          </cell>
          <cell r="BF11">
            <v>9.612011030635149E-5</v>
          </cell>
          <cell r="BG11">
            <v>-1.406024097584443E-5</v>
          </cell>
          <cell r="BH11">
            <v>-1.2868951816683559E-5</v>
          </cell>
          <cell r="BI11">
            <v>-2.4244536386286099E-5</v>
          </cell>
          <cell r="BJ11">
            <v>-1.369243798090297E-5</v>
          </cell>
          <cell r="BK11">
            <v>-9.7754983779835986E-6</v>
          </cell>
          <cell r="BL11">
            <v>1.248118803230279E-5</v>
          </cell>
          <cell r="BM11">
            <v>-1.386534495851942E-5</v>
          </cell>
          <cell r="BN11">
            <v>-1.203782509558127E-5</v>
          </cell>
          <cell r="BO11">
            <v>-1.120161307901298E-5</v>
          </cell>
          <cell r="BP11">
            <v>-9.6517617539272767E-6</v>
          </cell>
          <cell r="BQ11">
            <v>-9.6517617539272767E-6</v>
          </cell>
          <cell r="BR11">
            <v>-1.105005523923463E-5</v>
          </cell>
          <cell r="BS11">
            <v>-1.0101696589596971E-5</v>
          </cell>
          <cell r="BT11">
            <v>-4.2688598223188944E-6</v>
          </cell>
          <cell r="BU11">
            <v>-1.5808218556015151E-6</v>
          </cell>
          <cell r="BV11">
            <v>-6.3823288784502198E-6</v>
          </cell>
          <cell r="BW11">
            <v>-3.4938515004354939E-6</v>
          </cell>
          <cell r="BX11">
            <v>-1.8409249620420931E-5</v>
          </cell>
          <cell r="BY11">
            <v>-1.8180712984481301E-6</v>
          </cell>
          <cell r="BZ11">
            <v>1.346969141589696E-6</v>
          </cell>
          <cell r="CA11">
            <v>-4.7572990916106086E-6</v>
          </cell>
          <cell r="CB11">
            <v>-1.8285029400087459E-5</v>
          </cell>
          <cell r="CC11">
            <v>1.056988799551929E-5</v>
          </cell>
          <cell r="CD11">
            <v>2.1665159344166781E-5</v>
          </cell>
          <cell r="CE11">
            <v>1.120356918038543E-5</v>
          </cell>
        </row>
        <row r="12">
          <cell r="A12" t="str">
            <v>EURHKD Curncy</v>
          </cell>
          <cell r="B12">
            <v>6.8656618510705781E-6</v>
          </cell>
          <cell r="C12">
            <v>2.693625786811791E-6</v>
          </cell>
          <cell r="D12">
            <v>-7.9434617118400169E-6</v>
          </cell>
          <cell r="E12">
            <v>-7.722097827272133E-6</v>
          </cell>
          <cell r="F12">
            <v>3.0582026986683721E-5</v>
          </cell>
          <cell r="G12">
            <v>1.5966484634147869E-5</v>
          </cell>
          <cell r="H12">
            <v>1.2217729490963519E-5</v>
          </cell>
          <cell r="I12">
            <v>1.9624197299899051E-5</v>
          </cell>
          <cell r="J12">
            <v>8.670779215004373E-6</v>
          </cell>
          <cell r="K12">
            <v>1.5569142983848011E-5</v>
          </cell>
          <cell r="L12">
            <v>2.9720541764079829E-5</v>
          </cell>
          <cell r="M12">
            <v>1.5038393086968721E-5</v>
          </cell>
          <cell r="N12">
            <v>8.1748094198834135E-7</v>
          </cell>
          <cell r="O12">
            <v>-9.6613996695491157E-7</v>
          </cell>
          <cell r="P12">
            <v>8.0641247124641286E-6</v>
          </cell>
          <cell r="Q12">
            <v>2.9889466452772559E-7</v>
          </cell>
          <cell r="R12">
            <v>9.8574297097868546E-6</v>
          </cell>
          <cell r="S12">
            <v>1.1920681424509559E-5</v>
          </cell>
          <cell r="T12">
            <v>-1.4410583313879771E-6</v>
          </cell>
          <cell r="U12">
            <v>1.9379732594063401E-5</v>
          </cell>
          <cell r="V12">
            <v>2.1802867205226461E-5</v>
          </cell>
          <cell r="W12">
            <v>1.6166158257080669E-5</v>
          </cell>
          <cell r="X12">
            <v>1.227250137066085E-5</v>
          </cell>
          <cell r="Y12">
            <v>8.9494171704397417E-7</v>
          </cell>
          <cell r="Z12">
            <v>4.7242294309557261E-7</v>
          </cell>
          <cell r="AA12">
            <v>9.4880599348742464E-7</v>
          </cell>
          <cell r="AB12">
            <v>5.6152699763389959E-6</v>
          </cell>
          <cell r="AC12">
            <v>1.1132823736504269E-5</v>
          </cell>
          <cell r="AD12">
            <v>3.9674664395769463E-7</v>
          </cell>
          <cell r="AE12">
            <v>1.671096641308868E-6</v>
          </cell>
          <cell r="AF12">
            <v>2.0816034034105711E-6</v>
          </cell>
          <cell r="AG12">
            <v>4.7267690611966867E-6</v>
          </cell>
          <cell r="AH12">
            <v>7.0192711988409976E-6</v>
          </cell>
          <cell r="AI12">
            <v>1.1823733393621779E-5</v>
          </cell>
          <cell r="AJ12">
            <v>1.43486474043241E-5</v>
          </cell>
          <cell r="AK12">
            <v>5.1139264082493736E-6</v>
          </cell>
          <cell r="AL12">
            <v>1.9000328930073249E-6</v>
          </cell>
          <cell r="AM12">
            <v>9.499211672055465E-6</v>
          </cell>
          <cell r="AN12">
            <v>1.89285068812392E-7</v>
          </cell>
          <cell r="AO12">
            <v>1.1670599480230741E-5</v>
          </cell>
          <cell r="AP12">
            <v>6.1700744786578011E-7</v>
          </cell>
          <cell r="AQ12">
            <v>7.3042366954036098E-7</v>
          </cell>
          <cell r="AR12">
            <v>7.6915668691709678E-6</v>
          </cell>
          <cell r="AS12">
            <v>1.0493400227511619E-6</v>
          </cell>
          <cell r="AT12">
            <v>5.5821781957293533E-6</v>
          </cell>
          <cell r="AU12">
            <v>2.620896272336333E-5</v>
          </cell>
          <cell r="AV12">
            <v>2.7660742172206459E-5</v>
          </cell>
          <cell r="AW12">
            <v>2.5356361235962329E-5</v>
          </cell>
          <cell r="AX12">
            <v>3.3273466686469388E-5</v>
          </cell>
          <cell r="AY12">
            <v>2.6329992147413201E-5</v>
          </cell>
          <cell r="AZ12">
            <v>4.5770659423447491E-5</v>
          </cell>
          <cell r="BA12">
            <v>2.726997166085095E-5</v>
          </cell>
          <cell r="BB12">
            <v>1.7816641644974051E-5</v>
          </cell>
          <cell r="BC12">
            <v>2.237916209399776E-5</v>
          </cell>
          <cell r="BD12">
            <v>1.327577436375299E-5</v>
          </cell>
          <cell r="BE12">
            <v>2.726997166085095E-5</v>
          </cell>
          <cell r="BF12">
            <v>-6.4564291162231519E-5</v>
          </cell>
          <cell r="BG12">
            <v>1.249528237830756E-5</v>
          </cell>
          <cell r="BH12">
            <v>3.377442244142975E-5</v>
          </cell>
          <cell r="BI12">
            <v>1.5213137864052029E-5</v>
          </cell>
          <cell r="BJ12">
            <v>2.7168270371225799E-5</v>
          </cell>
          <cell r="BK12">
            <v>3.2815557909957202E-5</v>
          </cell>
          <cell r="BL12">
            <v>6.4711994716397817E-5</v>
          </cell>
          <cell r="BM12">
            <v>3.5067328104893042E-5</v>
          </cell>
          <cell r="BN12">
            <v>3.6691331775515398E-5</v>
          </cell>
          <cell r="BO12">
            <v>2.3201989370884308E-5</v>
          </cell>
          <cell r="BP12">
            <v>1.635289983310009E-5</v>
          </cell>
          <cell r="BQ12">
            <v>1.635289983310009E-5</v>
          </cell>
          <cell r="BR12">
            <v>1.5574791881601379E-5</v>
          </cell>
          <cell r="BS12">
            <v>1.037325399446692E-5</v>
          </cell>
          <cell r="BT12">
            <v>2.8831807357838989E-5</v>
          </cell>
          <cell r="BU12">
            <v>1.734095062191703E-5</v>
          </cell>
          <cell r="BV12">
            <v>2.894815626880652E-5</v>
          </cell>
          <cell r="BW12">
            <v>4.0820841255705423E-5</v>
          </cell>
          <cell r="BX12">
            <v>3.4905488150355023E-5</v>
          </cell>
          <cell r="BY12">
            <v>-9.0355653360239888E-6</v>
          </cell>
          <cell r="BZ12">
            <v>1.9345817776853822E-5</v>
          </cell>
          <cell r="CA12">
            <v>-7.4091323065176538E-7</v>
          </cell>
          <cell r="CB12">
            <v>1.4895257860424071E-5</v>
          </cell>
          <cell r="CC12">
            <v>2.6266970943387101E-5</v>
          </cell>
          <cell r="CD12">
            <v>6.5126467822956656E-5</v>
          </cell>
          <cell r="CE12">
            <v>5.0206232274391188E-5</v>
          </cell>
        </row>
        <row r="13">
          <cell r="A13" t="str">
            <v>EURCAD Curncy</v>
          </cell>
          <cell r="B13">
            <v>3.3110621938139439E-6</v>
          </cell>
          <cell r="C13">
            <v>1.5767249547785119E-5</v>
          </cell>
          <cell r="D13">
            <v>2.7060141622928671E-5</v>
          </cell>
          <cell r="E13">
            <v>6.9351897827398016E-6</v>
          </cell>
          <cell r="F13">
            <v>1.582799697534817E-5</v>
          </cell>
          <cell r="G13">
            <v>2.0528902598797841E-5</v>
          </cell>
          <cell r="H13">
            <v>-7.8779475271229268E-7</v>
          </cell>
          <cell r="I13">
            <v>1.468437785925669E-5</v>
          </cell>
          <cell r="J13">
            <v>1.286883983839834E-5</v>
          </cell>
          <cell r="K13">
            <v>1.422628136624867E-5</v>
          </cell>
          <cell r="L13">
            <v>1.5038393086968721E-5</v>
          </cell>
          <cell r="M13">
            <v>2.98205859667705E-5</v>
          </cell>
          <cell r="N13">
            <v>2.5928679043691569E-5</v>
          </cell>
          <cell r="O13">
            <v>1.872712953783233E-5</v>
          </cell>
          <cell r="P13">
            <v>3.2324266390997312E-5</v>
          </cell>
          <cell r="Q13">
            <v>1.564876721911352E-5</v>
          </cell>
          <cell r="R13">
            <v>3.5165053963357477E-5</v>
          </cell>
          <cell r="S13">
            <v>3.5716057123970872E-5</v>
          </cell>
          <cell r="T13">
            <v>2.785593694516454E-5</v>
          </cell>
          <cell r="U13">
            <v>2.4489111594236621E-5</v>
          </cell>
          <cell r="V13">
            <v>1.8372062672956031E-5</v>
          </cell>
          <cell r="W13">
            <v>1.419100714049574E-5</v>
          </cell>
          <cell r="X13">
            <v>1.380057207568968E-5</v>
          </cell>
          <cell r="Y13">
            <v>-2.5147630585994227E-7</v>
          </cell>
          <cell r="Z13">
            <v>-2.9081155617004602E-7</v>
          </cell>
          <cell r="AA13">
            <v>-1.2426446750445901E-6</v>
          </cell>
          <cell r="AB13">
            <v>-5.8787805050900064E-7</v>
          </cell>
          <cell r="AC13">
            <v>7.4999787972170643E-6</v>
          </cell>
          <cell r="AD13">
            <v>7.7199454872919722E-7</v>
          </cell>
          <cell r="AE13">
            <v>1.162978403727848E-6</v>
          </cell>
          <cell r="AF13">
            <v>2.505147573490981E-6</v>
          </cell>
          <cell r="AG13">
            <v>5.2778684659192096E-6</v>
          </cell>
          <cell r="AH13">
            <v>7.4972115541217137E-6</v>
          </cell>
          <cell r="AI13">
            <v>1.5245879915129831E-5</v>
          </cell>
          <cell r="AJ13">
            <v>1.9969436845439089E-5</v>
          </cell>
          <cell r="AK13">
            <v>-2.6060794406726379E-7</v>
          </cell>
          <cell r="AL13">
            <v>-2.9094153100597449E-6</v>
          </cell>
          <cell r="AM13">
            <v>-7.2394819201487309E-6</v>
          </cell>
          <cell r="AN13">
            <v>3.360420503131392E-7</v>
          </cell>
          <cell r="AO13">
            <v>3.5868067475258539E-6</v>
          </cell>
          <cell r="AP13">
            <v>8.388479223434851E-7</v>
          </cell>
          <cell r="AQ13">
            <v>8.3264141106042379E-7</v>
          </cell>
          <cell r="AR13">
            <v>1.217709966954555E-5</v>
          </cell>
          <cell r="AS13">
            <v>-1.443692527645686E-7</v>
          </cell>
          <cell r="AT13">
            <v>5.1879753426015211E-6</v>
          </cell>
          <cell r="AU13">
            <v>-3.416793419440973E-5</v>
          </cell>
          <cell r="AV13">
            <v>-2.7954809094031079E-5</v>
          </cell>
          <cell r="AW13">
            <v>-3.7944676947599919E-5</v>
          </cell>
          <cell r="AX13">
            <v>-5.2007111702363727E-5</v>
          </cell>
          <cell r="AY13">
            <v>-3.9627559111809631E-5</v>
          </cell>
          <cell r="AZ13">
            <v>-5.3631791647234388E-5</v>
          </cell>
          <cell r="BA13">
            <v>-3.8861155554599908E-5</v>
          </cell>
          <cell r="BB13">
            <v>-4.0659874692233382E-5</v>
          </cell>
          <cell r="BC13">
            <v>-4.3021282802602103E-5</v>
          </cell>
          <cell r="BD13">
            <v>-3.7786065743943303E-5</v>
          </cell>
          <cell r="BE13">
            <v>-3.8861155554599908E-5</v>
          </cell>
          <cell r="BF13">
            <v>2.31482435882381E-4</v>
          </cell>
          <cell r="BG13">
            <v>-2.1927560315890211E-5</v>
          </cell>
          <cell r="BH13">
            <v>-5.3335259471213392E-5</v>
          </cell>
          <cell r="BI13">
            <v>-7.2043487207719889E-5</v>
          </cell>
          <cell r="BJ13">
            <v>-4.4617711778494607E-5</v>
          </cell>
          <cell r="BK13">
            <v>-4.0122436809768802E-5</v>
          </cell>
          <cell r="BL13">
            <v>1.76570299475829E-5</v>
          </cell>
          <cell r="BM13">
            <v>-5.0424457613999317E-5</v>
          </cell>
          <cell r="BN13">
            <v>-5.1758876168624362E-5</v>
          </cell>
          <cell r="BO13">
            <v>-4.4233991859020787E-5</v>
          </cell>
          <cell r="BP13">
            <v>-3.123860300918567E-5</v>
          </cell>
          <cell r="BQ13">
            <v>-3.123860300918567E-5</v>
          </cell>
          <cell r="BR13">
            <v>-3.4638305242426309E-5</v>
          </cell>
          <cell r="BS13">
            <v>-2.8751941559823438E-5</v>
          </cell>
          <cell r="BT13">
            <v>-1.6387731487127839E-5</v>
          </cell>
          <cell r="BU13">
            <v>-8.7422092547212899E-6</v>
          </cell>
          <cell r="BV13">
            <v>-2.697118225947818E-5</v>
          </cell>
          <cell r="BW13">
            <v>-2.5491059599945659E-5</v>
          </cell>
          <cell r="BX13">
            <v>-9.0969243835974635E-5</v>
          </cell>
          <cell r="BY13">
            <v>-2.004972166836722E-5</v>
          </cell>
          <cell r="BZ13">
            <v>-9.2273071731987811E-6</v>
          </cell>
          <cell r="CA13">
            <v>-2.1794967140811421E-5</v>
          </cell>
          <cell r="CB13">
            <v>-4.8134257384566612E-5</v>
          </cell>
          <cell r="CC13">
            <v>3.6707495797434029E-6</v>
          </cell>
          <cell r="CD13">
            <v>-8.0541527538286167E-6</v>
          </cell>
          <cell r="CE13">
            <v>-9.6867970547329654E-6</v>
          </cell>
        </row>
        <row r="14">
          <cell r="A14" t="str">
            <v>EURAUD Curncy</v>
          </cell>
          <cell r="B14">
            <v>8.6461275004142937E-7</v>
          </cell>
          <cell r="C14">
            <v>2.655374914639595E-5</v>
          </cell>
          <cell r="D14">
            <v>5.192191423894626E-5</v>
          </cell>
          <cell r="E14">
            <v>1.9176409631229409E-5</v>
          </cell>
          <cell r="F14">
            <v>1.074633243178158E-6</v>
          </cell>
          <cell r="G14">
            <v>2.0360044619247152E-5</v>
          </cell>
          <cell r="H14">
            <v>-3.8479958976288789E-6</v>
          </cell>
          <cell r="I14">
            <v>1.0726528587012529E-5</v>
          </cell>
          <cell r="J14">
            <v>1.562017583756681E-5</v>
          </cell>
          <cell r="K14">
            <v>1.2459777688650919E-5</v>
          </cell>
          <cell r="L14">
            <v>8.1748094198834135E-7</v>
          </cell>
          <cell r="M14">
            <v>2.5928679043691569E-5</v>
          </cell>
          <cell r="N14">
            <v>5.2516990593468367E-5</v>
          </cell>
          <cell r="O14">
            <v>3.951657492903486E-5</v>
          </cell>
          <cell r="P14">
            <v>3.5152076296545753E-5</v>
          </cell>
          <cell r="Q14">
            <v>2.7439360100599709E-5</v>
          </cell>
          <cell r="R14">
            <v>5.0141445689703317E-5</v>
          </cell>
          <cell r="S14">
            <v>4.4077292957766409E-5</v>
          </cell>
          <cell r="T14">
            <v>4.0727002073753737E-5</v>
          </cell>
          <cell r="U14">
            <v>2.8214807554285102E-5</v>
          </cell>
          <cell r="V14">
            <v>9.3741064651371166E-6</v>
          </cell>
          <cell r="W14">
            <v>1.474206471281425E-5</v>
          </cell>
          <cell r="X14">
            <v>1.4221997656258949E-5</v>
          </cell>
          <cell r="Y14">
            <v>-6.3400148814613223E-7</v>
          </cell>
          <cell r="Z14">
            <v>-5.2204262004770157E-7</v>
          </cell>
          <cell r="AA14">
            <v>-2.7982604045116158E-6</v>
          </cell>
          <cell r="AB14">
            <v>-6.3939219185948619E-6</v>
          </cell>
          <cell r="AC14">
            <v>-5.7318204497966538E-6</v>
          </cell>
          <cell r="AD14">
            <v>6.7330223320483758E-7</v>
          </cell>
          <cell r="AE14">
            <v>8.8318327272630837E-7</v>
          </cell>
          <cell r="AF14">
            <v>2.1059803778692101E-6</v>
          </cell>
          <cell r="AG14">
            <v>3.2736471853000909E-6</v>
          </cell>
          <cell r="AH14">
            <v>3.6458824170696779E-6</v>
          </cell>
          <cell r="AI14">
            <v>6.1485274951560777E-6</v>
          </cell>
          <cell r="AJ14">
            <v>7.5480228045490871E-6</v>
          </cell>
          <cell r="AK14">
            <v>-6.8736565998567422E-6</v>
          </cell>
          <cell r="AL14">
            <v>-5.363322354407358E-6</v>
          </cell>
          <cell r="AM14">
            <v>-1.7921009778752738E-5</v>
          </cell>
          <cell r="AN14">
            <v>2.6451086421288451E-7</v>
          </cell>
          <cell r="AO14">
            <v>-3.2499512254487341E-6</v>
          </cell>
          <cell r="AP14">
            <v>1.087508857439364E-6</v>
          </cell>
          <cell r="AQ14">
            <v>6.3930430758125478E-7</v>
          </cell>
          <cell r="AR14">
            <v>4.8071717418782556E-6</v>
          </cell>
          <cell r="AS14">
            <v>-1.1038815668972939E-6</v>
          </cell>
          <cell r="AT14">
            <v>1.1389216869944941E-6</v>
          </cell>
          <cell r="AU14">
            <v>-7.9808500418972311E-5</v>
          </cell>
          <cell r="AV14">
            <v>-7.8571386412703054E-5</v>
          </cell>
          <cell r="AW14">
            <v>-8.1117073416616146E-5</v>
          </cell>
          <cell r="AX14">
            <v>-1.1312319206511959E-4</v>
          </cell>
          <cell r="AY14">
            <v>-7.8929109293313172E-5</v>
          </cell>
          <cell r="AZ14">
            <v>-9.5437576395654812E-5</v>
          </cell>
          <cell r="BA14">
            <v>-8.1307734887686389E-5</v>
          </cell>
          <cell r="BB14">
            <v>-7.7706148586729229E-5</v>
          </cell>
          <cell r="BC14">
            <v>-7.9168632149083566E-5</v>
          </cell>
          <cell r="BD14">
            <v>-6.7867543487477535E-5</v>
          </cell>
          <cell r="BE14">
            <v>-8.1307734887686389E-5</v>
          </cell>
          <cell r="BF14">
            <v>4.0426208591774689E-4</v>
          </cell>
          <cell r="BG14">
            <v>-5.3405360466894243E-5</v>
          </cell>
          <cell r="BH14">
            <v>-9.0366293284501443E-5</v>
          </cell>
          <cell r="BI14">
            <v>-1.173143729233997E-4</v>
          </cell>
          <cell r="BJ14">
            <v>-9.2837148157106272E-5</v>
          </cell>
          <cell r="BK14">
            <v>-8.893337280583763E-5</v>
          </cell>
          <cell r="BL14">
            <v>-8.1960133538252269E-5</v>
          </cell>
          <cell r="BM14">
            <v>-9.6856585837313105E-5</v>
          </cell>
          <cell r="BN14">
            <v>-1.12759415845473E-4</v>
          </cell>
          <cell r="BO14">
            <v>-7.6928371918799109E-5</v>
          </cell>
          <cell r="BP14">
            <v>-6.7103891976862148E-5</v>
          </cell>
          <cell r="BQ14">
            <v>-6.7103891976862148E-5</v>
          </cell>
          <cell r="BR14">
            <v>-7.2789874601266054E-5</v>
          </cell>
          <cell r="BS14">
            <v>-5.4461311358245263E-5</v>
          </cell>
          <cell r="BT14">
            <v>-5.4142242820339557E-5</v>
          </cell>
          <cell r="BU14">
            <v>-3.5506484301454648E-5</v>
          </cell>
          <cell r="BV14">
            <v>-7.3074796506767686E-5</v>
          </cell>
          <cell r="BW14">
            <v>-7.8638823847324279E-5</v>
          </cell>
          <cell r="BX14">
            <v>-1.5541655828907891E-4</v>
          </cell>
          <cell r="BY14">
            <v>-2.2683144531192711E-5</v>
          </cell>
          <cell r="BZ14">
            <v>-2.638589125416305E-5</v>
          </cell>
          <cell r="CA14">
            <v>-2.441435759829886E-5</v>
          </cell>
          <cell r="CB14">
            <v>-9.8441647203671313E-5</v>
          </cell>
          <cell r="CC14">
            <v>-1.6290667290785058E-5</v>
          </cell>
          <cell r="CD14">
            <v>-7.0820154273151142E-5</v>
          </cell>
          <cell r="CE14">
            <v>-5.5314083584113588E-5</v>
          </cell>
        </row>
        <row r="15">
          <cell r="A15" t="str">
            <v>EURNZD Curncy</v>
          </cell>
          <cell r="B15">
            <v>9.3141127456253122E-7</v>
          </cell>
          <cell r="C15">
            <v>2.2742762994598001E-5</v>
          </cell>
          <cell r="D15">
            <v>4.2069389290612028E-5</v>
          </cell>
          <cell r="E15">
            <v>1.7273603795157172E-5</v>
          </cell>
          <cell r="F15">
            <v>-1.2713545209579E-6</v>
          </cell>
          <cell r="G15">
            <v>1.7062475939087431E-5</v>
          </cell>
          <cell r="H15">
            <v>-1.9827348137804981E-6</v>
          </cell>
          <cell r="I15">
            <v>9.4852588629688631E-6</v>
          </cell>
          <cell r="J15">
            <v>1.405861534839999E-5</v>
          </cell>
          <cell r="K15">
            <v>9.6576108979796848E-6</v>
          </cell>
          <cell r="L15">
            <v>-9.6613996695491157E-7</v>
          </cell>
          <cell r="M15">
            <v>1.872712953783233E-5</v>
          </cell>
          <cell r="N15">
            <v>3.951657492903486E-5</v>
          </cell>
          <cell r="O15">
            <v>4.3604435973498681E-5</v>
          </cell>
          <cell r="P15">
            <v>3.4309753188234668E-5</v>
          </cell>
          <cell r="Q15">
            <v>2.3291435353424298E-5</v>
          </cell>
          <cell r="R15">
            <v>3.875436537374538E-5</v>
          </cell>
          <cell r="S15">
            <v>3.292235860640036E-5</v>
          </cell>
          <cell r="T15">
            <v>3.8483183583696792E-5</v>
          </cell>
          <cell r="U15">
            <v>2.0113730513825469E-5</v>
          </cell>
          <cell r="V15">
            <v>7.1302553985925414E-6</v>
          </cell>
          <cell r="W15">
            <v>1.246377049816295E-5</v>
          </cell>
          <cell r="X15">
            <v>2.1205711575074069E-5</v>
          </cell>
          <cell r="Y15">
            <v>-9.7328778579283164E-7</v>
          </cell>
          <cell r="Z15">
            <v>-1.191674061887148E-6</v>
          </cell>
          <cell r="AA15">
            <v>-4.0270335806934964E-6</v>
          </cell>
          <cell r="AB15">
            <v>-8.1615659034705111E-6</v>
          </cell>
          <cell r="AC15">
            <v>-1.229300287568694E-5</v>
          </cell>
          <cell r="AD15">
            <v>9.112890646808293E-7</v>
          </cell>
          <cell r="AE15">
            <v>4.634248462335767E-7</v>
          </cell>
          <cell r="AF15">
            <v>1.3713621831592509E-6</v>
          </cell>
          <cell r="AG15">
            <v>1.7147855951851629E-6</v>
          </cell>
          <cell r="AH15">
            <v>1.3247898612048159E-6</v>
          </cell>
          <cell r="AI15">
            <v>1.701063258054021E-6</v>
          </cell>
          <cell r="AJ15">
            <v>2.0893824142099708E-6</v>
          </cell>
          <cell r="AK15">
            <v>-9.2051614310197095E-6</v>
          </cell>
          <cell r="AL15">
            <v>-6.0441960273916517E-6</v>
          </cell>
          <cell r="AM15">
            <v>-2.019215276325929E-5</v>
          </cell>
          <cell r="AN15">
            <v>2.0794787735370281E-7</v>
          </cell>
          <cell r="AO15">
            <v>-8.5673574578188289E-6</v>
          </cell>
          <cell r="AP15">
            <v>3.9371338282213403E-7</v>
          </cell>
          <cell r="AQ15">
            <v>1.9504098404993351E-8</v>
          </cell>
          <cell r="AR15">
            <v>8.6554761044048533E-7</v>
          </cell>
          <cell r="AS15">
            <v>-1.3382336293572731E-6</v>
          </cell>
          <cell r="AT15">
            <v>-3.0909137606810321E-6</v>
          </cell>
          <cell r="AU15">
            <v>-6.6682197637228722E-5</v>
          </cell>
          <cell r="AV15">
            <v>-6.6338218638433951E-5</v>
          </cell>
          <cell r="AW15">
            <v>-6.7834712929579509E-5</v>
          </cell>
          <cell r="AX15">
            <v>-9.2846358293024696E-5</v>
          </cell>
          <cell r="AY15">
            <v>-6.805217704523659E-5</v>
          </cell>
          <cell r="AZ15">
            <v>-8.3032220451731658E-5</v>
          </cell>
          <cell r="BA15">
            <v>-6.5105375337059753E-5</v>
          </cell>
          <cell r="BB15">
            <v>-6.553800261030872E-5</v>
          </cell>
          <cell r="BC15">
            <v>-6.8423346864726224E-5</v>
          </cell>
          <cell r="BD15">
            <v>-5.3589124694000627E-5</v>
          </cell>
          <cell r="BE15">
            <v>-6.5105375337059753E-5</v>
          </cell>
          <cell r="BF15">
            <v>3.1520019944497851E-4</v>
          </cell>
          <cell r="BG15">
            <v>-3.495338654775114E-5</v>
          </cell>
          <cell r="BH15">
            <v>-7.8634302964018557E-5</v>
          </cell>
          <cell r="BI15">
            <v>-9.0465614123527052E-5</v>
          </cell>
          <cell r="BJ15">
            <v>-8.0366925131347339E-5</v>
          </cell>
          <cell r="BK15">
            <v>-8.2056250766357917E-5</v>
          </cell>
          <cell r="BL15">
            <v>-4.5025938410800398E-5</v>
          </cell>
          <cell r="BM15">
            <v>-7.3193836631197469E-5</v>
          </cell>
          <cell r="BN15">
            <v>-9.1338693950246942E-5</v>
          </cell>
          <cell r="BO15">
            <v>-6.726985788884744E-5</v>
          </cell>
          <cell r="BP15">
            <v>-5.7365665540390239E-5</v>
          </cell>
          <cell r="BQ15">
            <v>-5.7365665540390239E-5</v>
          </cell>
          <cell r="BR15">
            <v>-6.0901692101582457E-5</v>
          </cell>
          <cell r="BS15">
            <v>-4.6230048489342813E-5</v>
          </cell>
          <cell r="BT15">
            <v>-4.6206067560699017E-5</v>
          </cell>
          <cell r="BU15">
            <v>-2.457575003527514E-5</v>
          </cell>
          <cell r="BV15">
            <v>-5.8144961274961538E-5</v>
          </cell>
          <cell r="BW15">
            <v>-6.373815841447844E-5</v>
          </cell>
          <cell r="BX15">
            <v>-1.15739840229642E-4</v>
          </cell>
          <cell r="BY15">
            <v>-2.084356716782845E-5</v>
          </cell>
          <cell r="BZ15">
            <v>-2.4451602644229191E-5</v>
          </cell>
          <cell r="CA15">
            <v>-1.9403830361541418E-5</v>
          </cell>
          <cell r="CB15">
            <v>-6.2283215371666817E-5</v>
          </cell>
          <cell r="CC15">
            <v>-1.0227878456954709E-5</v>
          </cell>
          <cell r="CD15">
            <v>-5.0042085714200257E-5</v>
          </cell>
          <cell r="CE15">
            <v>-4.7399326365047791E-5</v>
          </cell>
        </row>
        <row r="16">
          <cell r="A16" t="str">
            <v>EURBRL Curncy</v>
          </cell>
          <cell r="B16">
            <v>-2.9239752165427239E-7</v>
          </cell>
          <cell r="C16">
            <v>1.5598082545992491E-5</v>
          </cell>
          <cell r="D16">
            <v>4.5946888505545373E-5</v>
          </cell>
          <cell r="E16">
            <v>8.8430059955368712E-6</v>
          </cell>
          <cell r="F16">
            <v>8.9774381587864637E-6</v>
          </cell>
          <cell r="G16">
            <v>2.3139381436808628E-5</v>
          </cell>
          <cell r="H16">
            <v>-1.307468782749672E-5</v>
          </cell>
          <cell r="I16">
            <v>1.1900865552270139E-5</v>
          </cell>
          <cell r="J16">
            <v>1.6121204087525441E-5</v>
          </cell>
          <cell r="K16">
            <v>1.4585946090317E-5</v>
          </cell>
          <cell r="L16">
            <v>8.0641247124641286E-6</v>
          </cell>
          <cell r="M16">
            <v>3.2324266390997312E-5</v>
          </cell>
          <cell r="N16">
            <v>3.5152076296545753E-5</v>
          </cell>
          <cell r="O16">
            <v>3.4309753188234668E-5</v>
          </cell>
          <cell r="P16">
            <v>1.6851298218634549E-4</v>
          </cell>
          <cell r="Q16">
            <v>5.4712517261169343E-5</v>
          </cell>
          <cell r="R16">
            <v>8.6269186097641038E-5</v>
          </cell>
          <cell r="S16">
            <v>7.9183537591671487E-5</v>
          </cell>
          <cell r="T16">
            <v>7.717577966678108E-5</v>
          </cell>
          <cell r="U16">
            <v>3.385567598112693E-5</v>
          </cell>
          <cell r="V16">
            <v>1.9910016524382818E-5</v>
          </cell>
          <cell r="W16">
            <v>1.3623693597985241E-5</v>
          </cell>
          <cell r="X16">
            <v>2.624287324336778E-5</v>
          </cell>
          <cell r="Y16">
            <v>1.156670135633847E-7</v>
          </cell>
          <cell r="Z16">
            <v>1.76108367586226E-6</v>
          </cell>
          <cell r="AA16">
            <v>6.1669588601722338E-6</v>
          </cell>
          <cell r="AB16">
            <v>1.100447517657521E-5</v>
          </cell>
          <cell r="AC16">
            <v>4.0411529270897837E-5</v>
          </cell>
          <cell r="AD16">
            <v>2.6223423987322809E-6</v>
          </cell>
          <cell r="AE16">
            <v>2.5607406027465028E-6</v>
          </cell>
          <cell r="AF16">
            <v>6.2675120393415693E-6</v>
          </cell>
          <cell r="AG16">
            <v>1.396009889172609E-5</v>
          </cell>
          <cell r="AH16">
            <v>1.9617632515383191E-5</v>
          </cell>
          <cell r="AI16">
            <v>3.4372934226429658E-5</v>
          </cell>
          <cell r="AJ16">
            <v>4.6053166947441332E-5</v>
          </cell>
          <cell r="AK16">
            <v>1.53611581635333E-5</v>
          </cell>
          <cell r="AL16">
            <v>-1.166721473993135E-6</v>
          </cell>
          <cell r="AM16">
            <v>-2.992094784546165E-6</v>
          </cell>
          <cell r="AN16">
            <v>4.2373318231082229E-7</v>
          </cell>
          <cell r="AO16">
            <v>1.2188555177271161E-5</v>
          </cell>
          <cell r="AP16">
            <v>1.9367144122875192E-6</v>
          </cell>
          <cell r="AQ16">
            <v>1.6339359184055119E-6</v>
          </cell>
          <cell r="AR16">
            <v>2.0775817106403589E-5</v>
          </cell>
          <cell r="AS16">
            <v>1.509288928824073E-6</v>
          </cell>
          <cell r="AT16">
            <v>1.1680439848005771E-5</v>
          </cell>
          <cell r="AU16">
            <v>-6.047095802718665E-5</v>
          </cell>
          <cell r="AV16">
            <v>-3.542635256257234E-5</v>
          </cell>
          <cell r="AW16">
            <v>-6.8898922399713132E-5</v>
          </cell>
          <cell r="AX16">
            <v>-1.0024587609750981E-4</v>
          </cell>
          <cell r="AY16">
            <v>-8.3145338072305289E-5</v>
          </cell>
          <cell r="AZ16">
            <v>-1.524824668321174E-4</v>
          </cell>
          <cell r="BA16">
            <v>-7.6541329194321851E-5</v>
          </cell>
          <cell r="BB16">
            <v>-7.5153695695224021E-5</v>
          </cell>
          <cell r="BC16">
            <v>-9.1411530602353839E-5</v>
          </cell>
          <cell r="BD16">
            <v>-8.1576809203164809E-5</v>
          </cell>
          <cell r="BE16">
            <v>-7.6541329194321851E-5</v>
          </cell>
          <cell r="BF16">
            <v>3.823635868180097E-4</v>
          </cell>
          <cell r="BG16">
            <v>-5.1901975566629938E-5</v>
          </cell>
          <cell r="BH16">
            <v>-1.3482986095765911E-4</v>
          </cell>
          <cell r="BI16">
            <v>-1.5006373534388751E-4</v>
          </cell>
          <cell r="BJ16">
            <v>-7.9940106835961122E-5</v>
          </cell>
          <cell r="BK16">
            <v>-7.7419545995046794E-5</v>
          </cell>
          <cell r="BL16">
            <v>2.240544417997705E-5</v>
          </cell>
          <cell r="BM16">
            <v>-1.044797973946011E-4</v>
          </cell>
          <cell r="BN16">
            <v>-1.3577660290807779E-4</v>
          </cell>
          <cell r="BO16">
            <v>-1.0941901462713061E-4</v>
          </cell>
          <cell r="BP16">
            <v>-6.56049282137599E-5</v>
          </cell>
          <cell r="BQ16">
            <v>-6.56049282137599E-5</v>
          </cell>
          <cell r="BR16">
            <v>-6.9880093826332935E-5</v>
          </cell>
          <cell r="BS16">
            <v>-5.7891161514791218E-5</v>
          </cell>
          <cell r="BT16">
            <v>-2.560117509301327E-5</v>
          </cell>
          <cell r="BU16">
            <v>4.4541927548870064E-6</v>
          </cell>
          <cell r="BV16">
            <v>-6.2490940227616853E-5</v>
          </cell>
          <cell r="BW16">
            <v>-6.3487371546861105E-5</v>
          </cell>
          <cell r="BX16">
            <v>-1.6516070973006009E-4</v>
          </cell>
          <cell r="BY16">
            <v>-6.9593243401454993E-5</v>
          </cell>
          <cell r="BZ16">
            <v>-6.4662025448689514E-5</v>
          </cell>
          <cell r="CA16">
            <v>-8.46752534631152E-5</v>
          </cell>
          <cell r="CB16">
            <v>-8.9994902910443819E-5</v>
          </cell>
          <cell r="CC16">
            <v>1.215089515466266E-6</v>
          </cell>
          <cell r="CD16">
            <v>-4.7151938310257857E-5</v>
          </cell>
          <cell r="CE16">
            <v>-4.9019303380038823E-5</v>
          </cell>
        </row>
        <row r="17">
          <cell r="A17" t="str">
            <v>EURCLP Curncy</v>
          </cell>
          <cell r="B17">
            <v>-8.2136532211704589E-6</v>
          </cell>
          <cell r="C17">
            <v>7.8429240888357293E-6</v>
          </cell>
          <cell r="D17">
            <v>2.7215608871922549E-5</v>
          </cell>
          <cell r="E17">
            <v>9.2911716126256533E-6</v>
          </cell>
          <cell r="F17">
            <v>4.4645665957692689E-7</v>
          </cell>
          <cell r="G17">
            <v>8.2979028891763391E-6</v>
          </cell>
          <cell r="H17">
            <v>-5.9333383414683936E-6</v>
          </cell>
          <cell r="I17">
            <v>6.0162797238918466E-6</v>
          </cell>
          <cell r="J17">
            <v>1.2092090518010249E-5</v>
          </cell>
          <cell r="K17">
            <v>7.715168273546547E-6</v>
          </cell>
          <cell r="L17">
            <v>2.9889466452772559E-7</v>
          </cell>
          <cell r="M17">
            <v>1.564876721911352E-5</v>
          </cell>
          <cell r="N17">
            <v>2.7439360100599709E-5</v>
          </cell>
          <cell r="O17">
            <v>2.3291435353424298E-5</v>
          </cell>
          <cell r="P17">
            <v>5.4712517261169343E-5</v>
          </cell>
          <cell r="Q17">
            <v>1.051397439938057E-4</v>
          </cell>
          <cell r="R17">
            <v>6.3269372520110916E-5</v>
          </cell>
          <cell r="S17">
            <v>3.672760072165178E-5</v>
          </cell>
          <cell r="T17">
            <v>4.6067870744456733E-5</v>
          </cell>
          <cell r="U17">
            <v>1.4670059413860789E-5</v>
          </cell>
          <cell r="V17">
            <v>5.5145990870261728E-6</v>
          </cell>
          <cell r="W17">
            <v>7.1176534106561776E-6</v>
          </cell>
          <cell r="X17">
            <v>2.0921740345191572E-6</v>
          </cell>
          <cell r="Y17">
            <v>-5.0349660102450041E-7</v>
          </cell>
          <cell r="Z17">
            <v>1.6541193958070291E-7</v>
          </cell>
          <cell r="AA17">
            <v>1.5499380160106709E-6</v>
          </cell>
          <cell r="AB17">
            <v>4.7407561901692288E-6</v>
          </cell>
          <cell r="AC17">
            <v>2.2614575558856489E-5</v>
          </cell>
          <cell r="AD17">
            <v>1.40282008344929E-6</v>
          </cell>
          <cell r="AE17">
            <v>-6.5508125277153918E-7</v>
          </cell>
          <cell r="AF17">
            <v>1.8872518762663341E-6</v>
          </cell>
          <cell r="AG17">
            <v>5.8796373185905781E-6</v>
          </cell>
          <cell r="AH17">
            <v>9.698997497535891E-6</v>
          </cell>
          <cell r="AI17">
            <v>1.9253000889634741E-5</v>
          </cell>
          <cell r="AJ17">
            <v>2.6047585343653569E-5</v>
          </cell>
          <cell r="AK17">
            <v>6.2628118907342108E-6</v>
          </cell>
          <cell r="AL17">
            <v>-2.8965082635051431E-6</v>
          </cell>
          <cell r="AM17">
            <v>-4.7453759723114117E-6</v>
          </cell>
          <cell r="AN17">
            <v>8.2570443232900609E-9</v>
          </cell>
          <cell r="AO17">
            <v>9.9173089382517186E-6</v>
          </cell>
          <cell r="AP17">
            <v>1.0092275250821389E-6</v>
          </cell>
          <cell r="AQ17">
            <v>1.491050013769071E-6</v>
          </cell>
          <cell r="AR17">
            <v>1.5175115447581539E-5</v>
          </cell>
          <cell r="AS17">
            <v>1.768514315442957E-6</v>
          </cell>
          <cell r="AT17">
            <v>4.2170440913828017E-6</v>
          </cell>
          <cell r="AU17">
            <v>-3.6953935278228451E-5</v>
          </cell>
          <cell r="AV17">
            <v>-2.8869243828296269E-5</v>
          </cell>
          <cell r="AW17">
            <v>-4.0294279045530841E-5</v>
          </cell>
          <cell r="AX17">
            <v>-5.8050631149164861E-5</v>
          </cell>
          <cell r="AY17">
            <v>-5.3814727860342727E-5</v>
          </cell>
          <cell r="AZ17">
            <v>-7.9352665929381105E-5</v>
          </cell>
          <cell r="BA17">
            <v>-5.6952913836241507E-5</v>
          </cell>
          <cell r="BB17">
            <v>-4.7897634707260341E-5</v>
          </cell>
          <cell r="BC17">
            <v>-5.2496598814675973E-5</v>
          </cell>
          <cell r="BD17">
            <v>-5.1075899787125811E-5</v>
          </cell>
          <cell r="BE17">
            <v>-5.6952913836241507E-5</v>
          </cell>
          <cell r="BF17">
            <v>2.4753308998415557E-4</v>
          </cell>
          <cell r="BG17">
            <v>-3.2467676902532838E-5</v>
          </cell>
          <cell r="BH17">
            <v>-7.5541382377340878E-5</v>
          </cell>
          <cell r="BI17">
            <v>-8.3988242751297209E-5</v>
          </cell>
          <cell r="BJ17">
            <v>-5.4548785367219019E-5</v>
          </cell>
          <cell r="BK17">
            <v>-5.3673496216452367E-5</v>
          </cell>
          <cell r="BL17">
            <v>-2.0041864535784941E-4</v>
          </cell>
          <cell r="BM17">
            <v>-7.9003042018804522E-5</v>
          </cell>
          <cell r="BN17">
            <v>-1.060399266126705E-4</v>
          </cell>
          <cell r="BO17">
            <v>-5.5342328676504741E-5</v>
          </cell>
          <cell r="BP17">
            <v>-4.0647480556882867E-5</v>
          </cell>
          <cell r="BQ17">
            <v>-4.0647480556882867E-5</v>
          </cell>
          <cell r="BR17">
            <v>-4.498096913597957E-5</v>
          </cell>
          <cell r="BS17">
            <v>-3.2578169641599601E-5</v>
          </cell>
          <cell r="BT17">
            <v>-4.2322024999475457E-5</v>
          </cell>
          <cell r="BU17">
            <v>-1.97762781809281E-5</v>
          </cell>
          <cell r="BV17">
            <v>-4.8182761204531117E-5</v>
          </cell>
          <cell r="BW17">
            <v>-5.7338817581620642E-5</v>
          </cell>
          <cell r="BX17">
            <v>-1.244372160812901E-4</v>
          </cell>
          <cell r="BY17">
            <v>-5.3259603160196267E-5</v>
          </cell>
          <cell r="BZ17">
            <v>-4.028070449288509E-5</v>
          </cell>
          <cell r="CA17">
            <v>-2.038229300364293E-5</v>
          </cell>
          <cell r="CB17">
            <v>-6.0857397175600809E-5</v>
          </cell>
          <cell r="CC17">
            <v>-1.39887366064308E-5</v>
          </cell>
          <cell r="CD17">
            <v>-5.8410808818261259E-5</v>
          </cell>
          <cell r="CE17">
            <v>-6.6203965186719912E-5</v>
          </cell>
        </row>
        <row r="18">
          <cell r="A18" t="str">
            <v>EURCOP Curncy</v>
          </cell>
          <cell r="B18">
            <v>2.4518655035841412E-7</v>
          </cell>
          <cell r="C18">
            <v>2.2204891619548849E-5</v>
          </cell>
          <cell r="D18">
            <v>6.0807082066920787E-5</v>
          </cell>
          <cell r="E18">
            <v>1.765777744160333E-5</v>
          </cell>
          <cell r="F18">
            <v>9.9634649814917317E-6</v>
          </cell>
          <cell r="G18">
            <v>2.704651953611679E-5</v>
          </cell>
          <cell r="H18">
            <v>-9.2358563366617665E-6</v>
          </cell>
          <cell r="I18">
            <v>2.1688993187443681E-5</v>
          </cell>
          <cell r="J18">
            <v>2.284499625667995E-5</v>
          </cell>
          <cell r="K18">
            <v>1.7326261926217121E-5</v>
          </cell>
          <cell r="L18">
            <v>9.8574297097868546E-6</v>
          </cell>
          <cell r="M18">
            <v>3.5165053963357477E-5</v>
          </cell>
          <cell r="N18">
            <v>5.0141445689703317E-5</v>
          </cell>
          <cell r="O18">
            <v>3.875436537374538E-5</v>
          </cell>
          <cell r="P18">
            <v>8.6269186097641038E-5</v>
          </cell>
          <cell r="Q18">
            <v>6.3269372520110916E-5</v>
          </cell>
          <cell r="R18">
            <v>1.439989705887671E-4</v>
          </cell>
          <cell r="S18">
            <v>7.9513188462293117E-5</v>
          </cell>
          <cell r="T18">
            <v>7.4981486980891721E-5</v>
          </cell>
          <cell r="U18">
            <v>4.5895765076539977E-5</v>
          </cell>
          <cell r="V18">
            <v>2.069491035044977E-5</v>
          </cell>
          <cell r="W18">
            <v>2.3929864975916329E-5</v>
          </cell>
          <cell r="X18">
            <v>2.35150842731669E-5</v>
          </cell>
          <cell r="Y18">
            <v>1.5895734140214909E-7</v>
          </cell>
          <cell r="Z18">
            <v>2.305154463659981E-6</v>
          </cell>
          <cell r="AA18">
            <v>5.4083523107123299E-6</v>
          </cell>
          <cell r="AB18">
            <v>9.4838649799845488E-6</v>
          </cell>
          <cell r="AC18">
            <v>3.8194242235440163E-5</v>
          </cell>
          <cell r="AD18">
            <v>9.9867570606044452E-7</v>
          </cell>
          <cell r="AE18">
            <v>1.613291262547251E-6</v>
          </cell>
          <cell r="AF18">
            <v>4.0933024109991604E-6</v>
          </cell>
          <cell r="AG18">
            <v>1.001537819778185E-5</v>
          </cell>
          <cell r="AH18">
            <v>1.512228649496294E-5</v>
          </cell>
          <cell r="AI18">
            <v>3.0743254881910032E-5</v>
          </cell>
          <cell r="AJ18">
            <v>3.9180946964936581E-5</v>
          </cell>
          <cell r="AK18">
            <v>1.113374318894053E-5</v>
          </cell>
          <cell r="AL18">
            <v>-2.9301880806553429E-6</v>
          </cell>
          <cell r="AM18">
            <v>-8.6767775068077899E-6</v>
          </cell>
          <cell r="AN18">
            <v>5.2700851262322202E-7</v>
          </cell>
          <cell r="AO18">
            <v>2.207377464119452E-5</v>
          </cell>
          <cell r="AP18">
            <v>1.9051291641403109E-6</v>
          </cell>
          <cell r="AQ18">
            <v>2.0058361736718739E-6</v>
          </cell>
          <cell r="AR18">
            <v>2.133013788518537E-5</v>
          </cell>
          <cell r="AS18">
            <v>3.2607108817635849E-6</v>
          </cell>
          <cell r="AT18">
            <v>1.106910087701934E-5</v>
          </cell>
          <cell r="AU18">
            <v>-8.3754283326090967E-5</v>
          </cell>
          <cell r="AV18">
            <v>-7.8348430918771372E-5</v>
          </cell>
          <cell r="AW18">
            <v>-8.6235593585419875E-5</v>
          </cell>
          <cell r="AX18">
            <v>-1.2469045279741339E-4</v>
          </cell>
          <cell r="AY18">
            <v>-9.5687009670163657E-5</v>
          </cell>
          <cell r="AZ18">
            <v>-1.4712413300041349E-4</v>
          </cell>
          <cell r="BA18">
            <v>-9.6079327443064944E-5</v>
          </cell>
          <cell r="BB18">
            <v>-9.143397678548426E-5</v>
          </cell>
          <cell r="BC18">
            <v>-9.7200470784879076E-5</v>
          </cell>
          <cell r="BD18">
            <v>-9.149293427998306E-5</v>
          </cell>
          <cell r="BE18">
            <v>-9.6079327443064944E-5</v>
          </cell>
          <cell r="BF18">
            <v>5.365913707362903E-4</v>
          </cell>
          <cell r="BG18">
            <v>-6.3796938265417994E-5</v>
          </cell>
          <cell r="BH18">
            <v>-1.3236182144154779E-4</v>
          </cell>
          <cell r="BI18">
            <v>-1.7013800486535E-4</v>
          </cell>
          <cell r="BJ18">
            <v>-9.8840176740055651E-5</v>
          </cell>
          <cell r="BK18">
            <v>-8.4039074329761909E-5</v>
          </cell>
          <cell r="BL18">
            <v>-5.1723682204603822E-5</v>
          </cell>
          <cell r="BM18">
            <v>-1.2600966884229129E-4</v>
          </cell>
          <cell r="BN18">
            <v>-1.5525707864150559E-4</v>
          </cell>
          <cell r="BO18">
            <v>-1.094732376924525E-4</v>
          </cell>
          <cell r="BP18">
            <v>-7.5313793138675372E-5</v>
          </cell>
          <cell r="BQ18">
            <v>-7.5313793138675372E-5</v>
          </cell>
          <cell r="BR18">
            <v>-8.395467781743074E-5</v>
          </cell>
          <cell r="BS18">
            <v>-6.6941895854694214E-5</v>
          </cell>
          <cell r="BT18">
            <v>-6.0099729582677748E-5</v>
          </cell>
          <cell r="BU18">
            <v>-4.9705591655451912E-5</v>
          </cell>
          <cell r="BV18">
            <v>-7.4049932182949005E-5</v>
          </cell>
          <cell r="BW18">
            <v>-9.2752193822680557E-5</v>
          </cell>
          <cell r="BX18">
            <v>-2.6467970225436867E-4</v>
          </cell>
          <cell r="BY18">
            <v>-7.0989539439150149E-5</v>
          </cell>
          <cell r="BZ18">
            <v>-3.9340876246626262E-5</v>
          </cell>
          <cell r="CA18">
            <v>-3.9086261258104788E-5</v>
          </cell>
          <cell r="CB18">
            <v>-8.7331919296312774E-5</v>
          </cell>
          <cell r="CC18">
            <v>-1.194336879894651E-5</v>
          </cell>
          <cell r="CD18">
            <v>-6.7506137306852425E-5</v>
          </cell>
          <cell r="CE18">
            <v>-6.8607921669894799E-5</v>
          </cell>
        </row>
        <row r="19">
          <cell r="A19" t="str">
            <v>EURMXN Curncy</v>
          </cell>
          <cell r="B19">
            <v>-5.9837233495664989E-7</v>
          </cell>
          <cell r="C19">
            <v>2.6368502306369051E-5</v>
          </cell>
          <cell r="D19">
            <v>5.7186636044645037E-5</v>
          </cell>
          <cell r="E19">
            <v>1.5764807435398771E-5</v>
          </cell>
          <cell r="F19">
            <v>1.310886255748682E-5</v>
          </cell>
          <cell r="G19">
            <v>2.8539445155389939E-5</v>
          </cell>
          <cell r="H19">
            <v>-8.8509241067255305E-6</v>
          </cell>
          <cell r="I19">
            <v>1.5340821750340651E-5</v>
          </cell>
          <cell r="J19">
            <v>1.859396032057724E-5</v>
          </cell>
          <cell r="K19">
            <v>1.944824799556281E-5</v>
          </cell>
          <cell r="L19">
            <v>1.1920681424509559E-5</v>
          </cell>
          <cell r="M19">
            <v>3.5716057123970872E-5</v>
          </cell>
          <cell r="N19">
            <v>4.4077292957766409E-5</v>
          </cell>
          <cell r="O19">
            <v>3.292235860640036E-5</v>
          </cell>
          <cell r="P19">
            <v>7.9183537591671487E-5</v>
          </cell>
          <cell r="Q19">
            <v>3.672760072165178E-5</v>
          </cell>
          <cell r="R19">
            <v>7.9513188462293117E-5</v>
          </cell>
          <cell r="S19">
            <v>1.1667724662302071E-4</v>
          </cell>
          <cell r="T19">
            <v>7.6994226351521133E-5</v>
          </cell>
          <cell r="U19">
            <v>5.171912834897208E-5</v>
          </cell>
          <cell r="V19">
            <v>2.1375794336444471E-5</v>
          </cell>
          <cell r="W19">
            <v>1.8758800461372769E-5</v>
          </cell>
          <cell r="X19">
            <v>3.7055570912234829E-5</v>
          </cell>
          <cell r="Y19">
            <v>2.9771862962794089E-7</v>
          </cell>
          <cell r="Z19">
            <v>1.5625915806641179E-6</v>
          </cell>
          <cell r="AA19">
            <v>3.2752824084091651E-6</v>
          </cell>
          <cell r="AB19">
            <v>3.4502327206910871E-6</v>
          </cell>
          <cell r="AC19">
            <v>2.6560621812228389E-5</v>
          </cell>
          <cell r="AD19">
            <v>3.2254952697664678E-6</v>
          </cell>
          <cell r="AE19">
            <v>3.5305652994120791E-6</v>
          </cell>
          <cell r="AF19">
            <v>6.369906007876885E-6</v>
          </cell>
          <cell r="AG19">
            <v>1.29994672253963E-5</v>
          </cell>
          <cell r="AH19">
            <v>1.7825029569938149E-5</v>
          </cell>
          <cell r="AI19">
            <v>3.5710896917743183E-5</v>
          </cell>
          <cell r="AJ19">
            <v>5.1076122983172362E-5</v>
          </cell>
          <cell r="AK19">
            <v>2.8726282399793029E-6</v>
          </cell>
          <cell r="AL19">
            <v>-5.4629692975696736E-6</v>
          </cell>
          <cell r="AM19">
            <v>-1.347769676532445E-5</v>
          </cell>
          <cell r="AN19">
            <v>6.6690121991973167E-7</v>
          </cell>
          <cell r="AO19">
            <v>1.2819317008788E-5</v>
          </cell>
          <cell r="AP19">
            <v>1.8459882809441709E-6</v>
          </cell>
          <cell r="AQ19">
            <v>1.1688255326663659E-6</v>
          </cell>
          <cell r="AR19">
            <v>1.9462361664009739E-5</v>
          </cell>
          <cell r="AS19">
            <v>-3.8960972215273773E-7</v>
          </cell>
          <cell r="AT19">
            <v>6.4029736530669126E-6</v>
          </cell>
          <cell r="AU19">
            <v>-9.0226577467798229E-5</v>
          </cell>
          <cell r="AV19">
            <v>-7.2841684342243778E-5</v>
          </cell>
          <cell r="AW19">
            <v>-9.9814894996303201E-5</v>
          </cell>
          <cell r="AX19">
            <v>-1.3393762954266831E-4</v>
          </cell>
          <cell r="AY19">
            <v>-1.08955817987677E-4</v>
          </cell>
          <cell r="AZ19">
            <v>-1.7909356249506589E-4</v>
          </cell>
          <cell r="BA19">
            <v>-1.09145053454658E-4</v>
          </cell>
          <cell r="BB19">
            <v>-1.0368928540380391E-4</v>
          </cell>
          <cell r="BC19">
            <v>-1.114969353669418E-4</v>
          </cell>
          <cell r="BD19">
            <v>-9.4921856802417733E-5</v>
          </cell>
          <cell r="BE19">
            <v>-1.09145053454658E-4</v>
          </cell>
          <cell r="BF19">
            <v>6.6806387368490588E-4</v>
          </cell>
          <cell r="BG19">
            <v>-1.176888780773737E-4</v>
          </cell>
          <cell r="BH19">
            <v>-1.5700537111019541E-4</v>
          </cell>
          <cell r="BI19">
            <v>-1.429990914508377E-4</v>
          </cell>
          <cell r="BJ19">
            <v>-1.22590759059813E-4</v>
          </cell>
          <cell r="BK19">
            <v>-1.006844037114638E-4</v>
          </cell>
          <cell r="BL19">
            <v>-1.256529179151462E-4</v>
          </cell>
          <cell r="BM19">
            <v>-1.397222349855367E-4</v>
          </cell>
          <cell r="BN19">
            <v>-1.2667165586874581E-4</v>
          </cell>
          <cell r="BO19">
            <v>-1.2437329741381959E-4</v>
          </cell>
          <cell r="BP19">
            <v>-8.8439810391582804E-5</v>
          </cell>
          <cell r="BQ19">
            <v>-8.8439810391582804E-5</v>
          </cell>
          <cell r="BR19">
            <v>-9.2548017924282076E-5</v>
          </cell>
          <cell r="BS19">
            <v>-7.6385799501150703E-5</v>
          </cell>
          <cell r="BT19">
            <v>-5.084361271291998E-5</v>
          </cell>
          <cell r="BU19">
            <v>-2.8841534545416849E-5</v>
          </cell>
          <cell r="BV19">
            <v>-8.6374820591979834E-5</v>
          </cell>
          <cell r="BW19">
            <v>-8.5754050037358906E-5</v>
          </cell>
          <cell r="BX19">
            <v>-2.3624751322425081E-4</v>
          </cell>
          <cell r="BY19">
            <v>-1.4300520086235091E-5</v>
          </cell>
          <cell r="BZ19">
            <v>-2.4483112922440441E-5</v>
          </cell>
          <cell r="CA19">
            <v>-4.7632161685336473E-5</v>
          </cell>
          <cell r="CB19">
            <v>-9.3832884000175882E-5</v>
          </cell>
          <cell r="CC19">
            <v>7.3365482895799314E-6</v>
          </cell>
          <cell r="CD19">
            <v>-4.3646914319010899E-5</v>
          </cell>
          <cell r="CE19">
            <v>-3.5728985355987519E-5</v>
          </cell>
        </row>
        <row r="20">
          <cell r="A20" t="str">
            <v>EURZAR Curncy</v>
          </cell>
          <cell r="B20">
            <v>-6.0171013878986177E-6</v>
          </cell>
          <cell r="C20">
            <v>1.884982285680493E-5</v>
          </cell>
          <cell r="D20">
            <v>5.1583693437019757E-5</v>
          </cell>
          <cell r="E20">
            <v>1.7371516460721801E-5</v>
          </cell>
          <cell r="F20">
            <v>-1.5076779013453781E-6</v>
          </cell>
          <cell r="G20">
            <v>1.363902550067525E-5</v>
          </cell>
          <cell r="H20">
            <v>-1.236889617552583E-5</v>
          </cell>
          <cell r="I20">
            <v>1.426256473310256E-5</v>
          </cell>
          <cell r="J20">
            <v>2.0555200275193309E-5</v>
          </cell>
          <cell r="K20">
            <v>1.2513696306696071E-5</v>
          </cell>
          <cell r="L20">
            <v>-1.4410583313879771E-6</v>
          </cell>
          <cell r="M20">
            <v>2.785593694516454E-5</v>
          </cell>
          <cell r="N20">
            <v>4.0727002073753737E-5</v>
          </cell>
          <cell r="O20">
            <v>3.8483183583696792E-5</v>
          </cell>
          <cell r="P20">
            <v>7.717577966678108E-5</v>
          </cell>
          <cell r="Q20">
            <v>4.6067870744456733E-5</v>
          </cell>
          <cell r="R20">
            <v>7.4981486980891721E-5</v>
          </cell>
          <cell r="S20">
            <v>7.6994226351521133E-5</v>
          </cell>
          <cell r="T20">
            <v>1.21819912000809E-4</v>
          </cell>
          <cell r="U20">
            <v>3.4316341522846937E-5</v>
          </cell>
          <cell r="V20">
            <v>1.213010062889606E-5</v>
          </cell>
          <cell r="W20">
            <v>1.4080616012322429E-5</v>
          </cell>
          <cell r="X20">
            <v>2.9358586742729699E-5</v>
          </cell>
          <cell r="Y20">
            <v>-5.3405982548542151E-7</v>
          </cell>
          <cell r="Z20">
            <v>8.4636562472018996E-7</v>
          </cell>
          <cell r="AA20">
            <v>2.891556150293798E-6</v>
          </cell>
          <cell r="AB20">
            <v>5.6721436389671858E-6</v>
          </cell>
          <cell r="AC20">
            <v>2.6358552786155931E-5</v>
          </cell>
          <cell r="AD20">
            <v>2.3002052899746161E-6</v>
          </cell>
          <cell r="AE20">
            <v>1.625116174561968E-6</v>
          </cell>
          <cell r="AF20">
            <v>4.2502150174823371E-6</v>
          </cell>
          <cell r="AG20">
            <v>1.018704417964943E-5</v>
          </cell>
          <cell r="AH20">
            <v>1.4792975420836911E-5</v>
          </cell>
          <cell r="AI20">
            <v>3.1388308001913062E-5</v>
          </cell>
          <cell r="AJ20">
            <v>4.805490547863553E-5</v>
          </cell>
          <cell r="AK20">
            <v>8.7226284379573605E-6</v>
          </cell>
          <cell r="AL20">
            <v>-5.1949279338383784E-6</v>
          </cell>
          <cell r="AM20">
            <v>-1.4645988245200819E-5</v>
          </cell>
          <cell r="AN20">
            <v>5.2507875013514544E-7</v>
          </cell>
          <cell r="AO20">
            <v>9.0070674344939921E-6</v>
          </cell>
          <cell r="AP20">
            <v>1.7409819589429909E-6</v>
          </cell>
          <cell r="AQ20">
            <v>1.998140583890099E-6</v>
          </cell>
          <cell r="AR20">
            <v>2.030907726506847E-5</v>
          </cell>
          <cell r="AS20">
            <v>1.9329904610639751E-6</v>
          </cell>
          <cell r="AT20">
            <v>8.6587715606630948E-6</v>
          </cell>
          <cell r="AU20">
            <v>-7.8628693510533743E-5</v>
          </cell>
          <cell r="AV20">
            <v>-7.0449775357289809E-5</v>
          </cell>
          <cell r="AW20">
            <v>-8.190300599519557E-5</v>
          </cell>
          <cell r="AX20">
            <v>-1.166845721859082E-4</v>
          </cell>
          <cell r="AY20">
            <v>-9.0497060984469385E-5</v>
          </cell>
          <cell r="AZ20">
            <v>-1.7024495202620641E-4</v>
          </cell>
          <cell r="BA20">
            <v>-8.7478140657886846E-5</v>
          </cell>
          <cell r="BB20">
            <v>-8.2073535288020234E-5</v>
          </cell>
          <cell r="BC20">
            <v>-9.2391070364543799E-5</v>
          </cell>
          <cell r="BD20">
            <v>-7.6832933659091757E-5</v>
          </cell>
          <cell r="BE20">
            <v>-8.7478140657886846E-5</v>
          </cell>
          <cell r="BF20">
            <v>4.9586827300647583E-4</v>
          </cell>
          <cell r="BG20">
            <v>-1.012906072289228E-4</v>
          </cell>
          <cell r="BH20">
            <v>-1.5369890519666249E-4</v>
          </cell>
          <cell r="BI20">
            <v>-1.120751532454885E-4</v>
          </cell>
          <cell r="BJ20">
            <v>-9.7008082982744323E-5</v>
          </cell>
          <cell r="BK20">
            <v>-8.6303178929298817E-5</v>
          </cell>
          <cell r="BL20">
            <v>-2.6561384910414137E-4</v>
          </cell>
          <cell r="BM20">
            <v>-1.2466729539037469E-4</v>
          </cell>
          <cell r="BN20">
            <v>-1.3921266110394879E-4</v>
          </cell>
          <cell r="BO20">
            <v>-1.050495070730569E-4</v>
          </cell>
          <cell r="BP20">
            <v>-6.9327949677317751E-5</v>
          </cell>
          <cell r="BQ20">
            <v>-6.9327949677317751E-5</v>
          </cell>
          <cell r="BR20">
            <v>-8.0196176292358766E-5</v>
          </cell>
          <cell r="BS20">
            <v>-6.1302383594221291E-5</v>
          </cell>
          <cell r="BT20">
            <v>-7.476560469509858E-5</v>
          </cell>
          <cell r="BU20">
            <v>-3.8541772135930337E-5</v>
          </cell>
          <cell r="BV20">
            <v>-6.7832754885898105E-5</v>
          </cell>
          <cell r="BW20">
            <v>-9.9198273494972188E-5</v>
          </cell>
          <cell r="BX20">
            <v>-2.2252623699661511E-4</v>
          </cell>
          <cell r="BY20">
            <v>-3.4249500647298687E-5</v>
          </cell>
          <cell r="BZ20">
            <v>-4.4672829743125718E-5</v>
          </cell>
          <cell r="CA20">
            <v>-4.7922531806765108E-5</v>
          </cell>
          <cell r="CB20">
            <v>-6.7374517304304423E-5</v>
          </cell>
          <cell r="CC20">
            <v>-4.0686501602523329E-7</v>
          </cell>
          <cell r="CD20">
            <v>-5.166202634576786E-5</v>
          </cell>
          <cell r="CE20">
            <v>-7.7234155312494161E-5</v>
          </cell>
        </row>
        <row r="21">
          <cell r="A21" t="str">
            <v>EURIDR Curncy</v>
          </cell>
          <cell r="B21">
            <v>5.3948631523785127E-6</v>
          </cell>
          <cell r="C21">
            <v>1.3691729660454449E-5</v>
          </cell>
          <cell r="D21">
            <v>2.4605850214400459E-5</v>
          </cell>
          <cell r="E21">
            <v>6.0275829752251899E-6</v>
          </cell>
          <cell r="F21">
            <v>2.0396707938366179E-5</v>
          </cell>
          <cell r="G21">
            <v>2.271497449566919E-5</v>
          </cell>
          <cell r="H21">
            <v>7.2227004722604172E-6</v>
          </cell>
          <cell r="I21">
            <v>1.903162778167828E-5</v>
          </cell>
          <cell r="J21">
            <v>1.425208673346719E-5</v>
          </cell>
          <cell r="K21">
            <v>1.8458128076336431E-5</v>
          </cell>
          <cell r="L21">
            <v>1.9379732594063401E-5</v>
          </cell>
          <cell r="M21">
            <v>2.4489111594236621E-5</v>
          </cell>
          <cell r="N21">
            <v>2.8214807554285102E-5</v>
          </cell>
          <cell r="O21">
            <v>2.0113730513825469E-5</v>
          </cell>
          <cell r="P21">
            <v>3.385567598112693E-5</v>
          </cell>
          <cell r="Q21">
            <v>1.4670059413860789E-5</v>
          </cell>
          <cell r="R21">
            <v>4.5895765076539977E-5</v>
          </cell>
          <cell r="S21">
            <v>5.171912834897208E-5</v>
          </cell>
          <cell r="T21">
            <v>3.4316341522846937E-5</v>
          </cell>
          <cell r="U21">
            <v>6.3193613702261091E-5</v>
          </cell>
          <cell r="V21">
            <v>2.6543175424850349E-5</v>
          </cell>
          <cell r="W21">
            <v>2.3403700302845738E-5</v>
          </cell>
          <cell r="X21">
            <v>2.273356875126636E-5</v>
          </cell>
          <cell r="Y21">
            <v>-5.109053665904648E-8</v>
          </cell>
          <cell r="Z21">
            <v>-3.9839556904423718E-7</v>
          </cell>
          <cell r="AA21">
            <v>-9.4352478338303535E-7</v>
          </cell>
          <cell r="AB21">
            <v>-1.040553691326735E-6</v>
          </cell>
          <cell r="AC21">
            <v>4.6947650246484263E-6</v>
          </cell>
          <cell r="AD21">
            <v>1.3181304000037961E-6</v>
          </cell>
          <cell r="AE21">
            <v>1.646703114876982E-6</v>
          </cell>
          <cell r="AF21">
            <v>3.188125706625363E-6</v>
          </cell>
          <cell r="AG21">
            <v>7.2457243460275446E-6</v>
          </cell>
          <cell r="AH21">
            <v>9.6158476941337837E-6</v>
          </cell>
          <cell r="AI21">
            <v>1.8535276285838E-5</v>
          </cell>
          <cell r="AJ21">
            <v>2.9388775198961701E-5</v>
          </cell>
          <cell r="AK21">
            <v>3.674700387723208E-7</v>
          </cell>
          <cell r="AL21">
            <v>-9.6828968808918323E-7</v>
          </cell>
          <cell r="AM21">
            <v>-9.3892669942773173E-7</v>
          </cell>
          <cell r="AN21">
            <v>2.3999652831983761E-7</v>
          </cell>
          <cell r="AO21">
            <v>1.3508813090887451E-5</v>
          </cell>
          <cell r="AP21">
            <v>1.1879184534210819E-6</v>
          </cell>
          <cell r="AQ21">
            <v>9.8506040781754683E-7</v>
          </cell>
          <cell r="AR21">
            <v>8.1445209603965244E-6</v>
          </cell>
          <cell r="AS21">
            <v>-2.958720648352227E-7</v>
          </cell>
          <cell r="AT21">
            <v>3.3788854585432242E-6</v>
          </cell>
          <cell r="AU21">
            <v>-3.8451718592307662E-5</v>
          </cell>
          <cell r="AV21">
            <v>-3.4986038397145462E-5</v>
          </cell>
          <cell r="AW21">
            <v>-3.7221094299631832E-5</v>
          </cell>
          <cell r="AX21">
            <v>-5.2841118869468967E-5</v>
          </cell>
          <cell r="AY21">
            <v>-3.3819821764574603E-5</v>
          </cell>
          <cell r="AZ21">
            <v>-4.9883086651455058E-5</v>
          </cell>
          <cell r="BA21">
            <v>-3.0679031786916953E-5</v>
          </cell>
          <cell r="BB21">
            <v>-4.0331659711710347E-5</v>
          </cell>
          <cell r="BC21">
            <v>-3.3954309810761742E-5</v>
          </cell>
          <cell r="BD21">
            <v>-3.9248177831170722E-5</v>
          </cell>
          <cell r="BE21">
            <v>-3.0679031786916953E-5</v>
          </cell>
          <cell r="BF21">
            <v>2.3329564524615399E-4</v>
          </cell>
          <cell r="BG21">
            <v>-1.034790500110223E-4</v>
          </cell>
          <cell r="BH21">
            <v>-5.0456305311311693E-5</v>
          </cell>
          <cell r="BI21">
            <v>-3.553359977889769E-5</v>
          </cell>
          <cell r="BJ21">
            <v>-4.4174593656217888E-5</v>
          </cell>
          <cell r="BK21">
            <v>-3.7535418794957737E-5</v>
          </cell>
          <cell r="BL21">
            <v>-1.074695626667465E-4</v>
          </cell>
          <cell r="BM21">
            <v>-4.0336470681800448E-5</v>
          </cell>
          <cell r="BN21">
            <v>-3.6480089051478359E-5</v>
          </cell>
          <cell r="BO21">
            <v>-4.4369575912217501E-5</v>
          </cell>
          <cell r="BP21">
            <v>-2.923517599571658E-5</v>
          </cell>
          <cell r="BQ21">
            <v>-2.923517599571658E-5</v>
          </cell>
          <cell r="BR21">
            <v>-3.0685988668337582E-5</v>
          </cell>
          <cell r="BS21">
            <v>-2.570358669090484E-5</v>
          </cell>
          <cell r="BT21">
            <v>-8.1114230137332632E-6</v>
          </cell>
          <cell r="BU21">
            <v>-8.2817861355091653E-6</v>
          </cell>
          <cell r="BV21">
            <v>-2.8195497960970601E-5</v>
          </cell>
          <cell r="BW21">
            <v>-2.562001118781587E-5</v>
          </cell>
          <cell r="BX21">
            <v>-1.1316293558139249E-4</v>
          </cell>
          <cell r="BY21">
            <v>-7.8586439720065064E-6</v>
          </cell>
          <cell r="BZ21">
            <v>7.1740564193429821E-8</v>
          </cell>
          <cell r="CA21">
            <v>-2.650985634474072E-5</v>
          </cell>
          <cell r="CB21">
            <v>-3.4549767738871653E-5</v>
          </cell>
          <cell r="CC21">
            <v>1.3855310082945259E-5</v>
          </cell>
          <cell r="CD21">
            <v>2.279591691244937E-5</v>
          </cell>
          <cell r="CE21">
            <v>-2.0799985169982411E-6</v>
          </cell>
        </row>
        <row r="22">
          <cell r="A22" t="str">
            <v>EURINR Curncy</v>
          </cell>
          <cell r="B22">
            <v>5.3470027583894097E-6</v>
          </cell>
          <cell r="C22">
            <v>6.279984773529458E-6</v>
          </cell>
          <cell r="D22">
            <v>4.6471694498970712E-6</v>
          </cell>
          <cell r="E22">
            <v>-1.48833237002234E-6</v>
          </cell>
          <cell r="F22">
            <v>2.2626303691398821E-5</v>
          </cell>
          <cell r="G22">
            <v>1.7544905328138648E-5</v>
          </cell>
          <cell r="H22">
            <v>6.0237306190389083E-6</v>
          </cell>
          <cell r="I22">
            <v>1.7348665909344919E-5</v>
          </cell>
          <cell r="J22">
            <v>9.8908977825222426E-6</v>
          </cell>
          <cell r="K22">
            <v>1.39251158375826E-5</v>
          </cell>
          <cell r="L22">
            <v>2.1802867205226461E-5</v>
          </cell>
          <cell r="M22">
            <v>1.8372062672956031E-5</v>
          </cell>
          <cell r="N22">
            <v>9.3741064651371166E-6</v>
          </cell>
          <cell r="O22">
            <v>7.1302553985925414E-6</v>
          </cell>
          <cell r="P22">
            <v>1.9910016524382818E-5</v>
          </cell>
          <cell r="Q22">
            <v>5.5145990870261728E-6</v>
          </cell>
          <cell r="R22">
            <v>2.069491035044977E-5</v>
          </cell>
          <cell r="S22">
            <v>2.1375794336444471E-5</v>
          </cell>
          <cell r="T22">
            <v>1.213010062889606E-5</v>
          </cell>
          <cell r="U22">
            <v>2.6543175424850349E-5</v>
          </cell>
          <cell r="V22">
            <v>3.609110256852807E-5</v>
          </cell>
          <cell r="W22">
            <v>1.9086944736438131E-5</v>
          </cell>
          <cell r="X22">
            <v>1.2018291174043411E-5</v>
          </cell>
          <cell r="Y22">
            <v>2.1421021320204191E-7</v>
          </cell>
          <cell r="Z22">
            <v>9.4804234345012118E-8</v>
          </cell>
          <cell r="AA22">
            <v>2.62143936425384E-7</v>
          </cell>
          <cell r="AB22">
            <v>4.2455504002520204E-6</v>
          </cell>
          <cell r="AC22">
            <v>1.0804598431644371E-5</v>
          </cell>
          <cell r="AD22">
            <v>7.7885140274876523E-7</v>
          </cell>
          <cell r="AE22">
            <v>1.405490648773669E-6</v>
          </cell>
          <cell r="AF22">
            <v>2.2434508427678112E-6</v>
          </cell>
          <cell r="AG22">
            <v>5.1256890181525444E-6</v>
          </cell>
          <cell r="AH22">
            <v>7.9657950238861568E-6</v>
          </cell>
          <cell r="AI22">
            <v>1.6685783112377781E-5</v>
          </cell>
          <cell r="AJ22">
            <v>2.1860912941133099E-5</v>
          </cell>
          <cell r="AK22">
            <v>1.400405109175239E-6</v>
          </cell>
          <cell r="AL22">
            <v>1.8383994684833621E-7</v>
          </cell>
          <cell r="AM22">
            <v>2.987558292169354E-6</v>
          </cell>
          <cell r="AN22">
            <v>3.0728479569048698E-7</v>
          </cell>
          <cell r="AO22">
            <v>9.8752247214866222E-6</v>
          </cell>
          <cell r="AP22">
            <v>7.7663148041475589E-7</v>
          </cell>
          <cell r="AQ22">
            <v>9.7836654522655368E-7</v>
          </cell>
          <cell r="AR22">
            <v>8.9248820027262931E-6</v>
          </cell>
          <cell r="AS22">
            <v>1.0845653645064489E-6</v>
          </cell>
          <cell r="AT22">
            <v>6.7604238638511228E-6</v>
          </cell>
          <cell r="AU22">
            <v>-5.2499314594869889E-7</v>
          </cell>
          <cell r="AV22">
            <v>-6.5118372663248421E-7</v>
          </cell>
          <cell r="AW22">
            <v>1.8497414324765941E-6</v>
          </cell>
          <cell r="AX22">
            <v>-2.653434644463306E-6</v>
          </cell>
          <cell r="AY22">
            <v>7.1767117907526701E-7</v>
          </cell>
          <cell r="AZ22">
            <v>4.4062291982277058E-6</v>
          </cell>
          <cell r="BA22">
            <v>1.271668841863055E-6</v>
          </cell>
          <cell r="BB22">
            <v>-5.6021537679262017E-6</v>
          </cell>
          <cell r="BC22">
            <v>-1.938363797982389E-6</v>
          </cell>
          <cell r="BD22">
            <v>-6.507442761734786E-6</v>
          </cell>
          <cell r="BE22">
            <v>1.271668841863055E-6</v>
          </cell>
          <cell r="BF22">
            <v>5.3561274810543561E-5</v>
          </cell>
          <cell r="BG22">
            <v>-2.025950299868742E-5</v>
          </cell>
          <cell r="BH22">
            <v>-2.2064395331458369E-6</v>
          </cell>
          <cell r="BI22">
            <v>-6.6201099041914581E-6</v>
          </cell>
          <cell r="BJ22">
            <v>-1.1033570520956611E-6</v>
          </cell>
          <cell r="BK22">
            <v>5.9107976821244927E-6</v>
          </cell>
          <cell r="BL22">
            <v>-3.6231891330870297E-5</v>
          </cell>
          <cell r="BM22">
            <v>2.3408076733755959E-6</v>
          </cell>
          <cell r="BN22">
            <v>2.013438095483668E-6</v>
          </cell>
          <cell r="BO22">
            <v>-3.9970343341361676E-6</v>
          </cell>
          <cell r="BP22">
            <v>-2.8601861918326911E-6</v>
          </cell>
          <cell r="BQ22">
            <v>-2.8601861918326911E-6</v>
          </cell>
          <cell r="BR22">
            <v>-5.0030107360226998E-6</v>
          </cell>
          <cell r="BS22">
            <v>-7.0745289059043829E-6</v>
          </cell>
          <cell r="BT22">
            <v>1.446539403012487E-5</v>
          </cell>
          <cell r="BU22">
            <v>1.0391722613918941E-5</v>
          </cell>
          <cell r="BV22">
            <v>1.047530644318473E-5</v>
          </cell>
          <cell r="BW22">
            <v>1.0903046997975629E-5</v>
          </cell>
          <cell r="BX22">
            <v>-1.5217279587027229E-5</v>
          </cell>
          <cell r="BY22">
            <v>-1.7230946435368749E-5</v>
          </cell>
          <cell r="BZ22">
            <v>6.7842778029841904E-7</v>
          </cell>
          <cell r="CA22">
            <v>-2.0623951406948489E-5</v>
          </cell>
          <cell r="CB22">
            <v>-1.1624020860715661E-5</v>
          </cell>
          <cell r="CC22">
            <v>2.1572748447608021E-5</v>
          </cell>
          <cell r="CD22">
            <v>4.5500916089388729E-5</v>
          </cell>
          <cell r="CE22">
            <v>2.1838456668307929E-5</v>
          </cell>
        </row>
        <row r="23">
          <cell r="A23" t="str">
            <v>EURMYR Curncy</v>
          </cell>
          <cell r="B23">
            <v>5.6778676374036084E-6</v>
          </cell>
          <cell r="C23">
            <v>8.5601378336652096E-6</v>
          </cell>
          <cell r="D23">
            <v>1.1166912079870259E-5</v>
          </cell>
          <cell r="E23">
            <v>-2.1480340143623271E-7</v>
          </cell>
          <cell r="F23">
            <v>1.6302195781760122E-5</v>
          </cell>
          <cell r="G23">
            <v>1.5392108288698481E-5</v>
          </cell>
          <cell r="H23">
            <v>8.6795357403410037E-6</v>
          </cell>
          <cell r="I23">
            <v>1.7112154389154501E-5</v>
          </cell>
          <cell r="J23">
            <v>1.4602075688325821E-5</v>
          </cell>
          <cell r="K23">
            <v>1.330087882810226E-5</v>
          </cell>
          <cell r="L23">
            <v>1.6166158257080669E-5</v>
          </cell>
          <cell r="M23">
            <v>1.419100714049574E-5</v>
          </cell>
          <cell r="N23">
            <v>1.474206471281425E-5</v>
          </cell>
          <cell r="O23">
            <v>1.246377049816295E-5</v>
          </cell>
          <cell r="P23">
            <v>1.3623693597985241E-5</v>
          </cell>
          <cell r="Q23">
            <v>7.1176534106561776E-6</v>
          </cell>
          <cell r="R23">
            <v>2.3929864975916329E-5</v>
          </cell>
          <cell r="S23">
            <v>1.8758800461372769E-5</v>
          </cell>
          <cell r="T23">
            <v>1.4080616012322429E-5</v>
          </cell>
          <cell r="U23">
            <v>2.3403700302845738E-5</v>
          </cell>
          <cell r="V23">
            <v>1.9086944736438131E-5</v>
          </cell>
          <cell r="W23">
            <v>2.3908460644491392E-5</v>
          </cell>
          <cell r="X23">
            <v>1.1734176127913271E-5</v>
          </cell>
          <cell r="Y23">
            <v>1.0504619664014939E-7</v>
          </cell>
          <cell r="Z23">
            <v>-2.7574979119702039E-7</v>
          </cell>
          <cell r="AA23">
            <v>-8.3863789272269034E-7</v>
          </cell>
          <cell r="AB23">
            <v>-4.6029699956266268E-7</v>
          </cell>
          <cell r="AC23">
            <v>-1.4054083943181529E-7</v>
          </cell>
          <cell r="AD23">
            <v>4.295801059489449E-7</v>
          </cell>
          <cell r="AE23">
            <v>9.7911116147633683E-7</v>
          </cell>
          <cell r="AF23">
            <v>1.145216957348616E-6</v>
          </cell>
          <cell r="AG23">
            <v>1.8661328915899991E-6</v>
          </cell>
          <cell r="AH23">
            <v>2.6355308234501689E-6</v>
          </cell>
          <cell r="AI23">
            <v>4.4316388284939056E-6</v>
          </cell>
          <cell r="AJ23">
            <v>4.4363484754373663E-6</v>
          </cell>
          <cell r="AK23">
            <v>-5.8887500683116681E-7</v>
          </cell>
          <cell r="AL23">
            <v>-1.6052554760951679E-6</v>
          </cell>
          <cell r="AM23">
            <v>-3.472616211925154E-6</v>
          </cell>
          <cell r="AN23">
            <v>2.2094352708176449E-7</v>
          </cell>
          <cell r="AO23">
            <v>8.0390468657297067E-6</v>
          </cell>
          <cell r="AP23">
            <v>5.1781710466927593E-7</v>
          </cell>
          <cell r="AQ23">
            <v>4.6424937317397188E-7</v>
          </cell>
          <cell r="AR23">
            <v>2.9715403232997909E-6</v>
          </cell>
          <cell r="AS23">
            <v>5.7032241810154249E-7</v>
          </cell>
          <cell r="AT23">
            <v>2.9115520186160721E-6</v>
          </cell>
          <cell r="AU23">
            <v>-1.144816991118004E-5</v>
          </cell>
          <cell r="AV23">
            <v>-1.403663178229717E-5</v>
          </cell>
          <cell r="AW23">
            <v>-9.9941796979096197E-6</v>
          </cell>
          <cell r="AX23">
            <v>-1.5139560171495559E-5</v>
          </cell>
          <cell r="AY23">
            <v>-7.6527306122083067E-6</v>
          </cell>
          <cell r="AZ23">
            <v>3.035977450892439E-6</v>
          </cell>
          <cell r="BA23">
            <v>-5.0318385224544929E-6</v>
          </cell>
          <cell r="BB23">
            <v>-1.273197071829314E-5</v>
          </cell>
          <cell r="BC23">
            <v>-1.040767056770735E-5</v>
          </cell>
          <cell r="BD23">
            <v>-1.332060047533508E-5</v>
          </cell>
          <cell r="BE23">
            <v>-5.0318385224544929E-6</v>
          </cell>
          <cell r="BF23">
            <v>8.8744483377091042E-5</v>
          </cell>
          <cell r="BG23">
            <v>-1.298463744311072E-5</v>
          </cell>
          <cell r="BH23">
            <v>-4.1290703608790449E-6</v>
          </cell>
          <cell r="BI23">
            <v>-2.154142724200144E-5</v>
          </cell>
          <cell r="BJ23">
            <v>-1.0028069855317001E-5</v>
          </cell>
          <cell r="BK23">
            <v>-9.5165290673440427E-6</v>
          </cell>
          <cell r="BL23">
            <v>1.9444474417766411E-6</v>
          </cell>
          <cell r="BM23">
            <v>-5.2320240333233636E-6</v>
          </cell>
          <cell r="BN23">
            <v>-7.9528935576332519E-6</v>
          </cell>
          <cell r="BO23">
            <v>-7.9972586731550256E-6</v>
          </cell>
          <cell r="BP23">
            <v>-7.7097393705019978E-6</v>
          </cell>
          <cell r="BQ23">
            <v>-7.7097393705019978E-6</v>
          </cell>
          <cell r="BR23">
            <v>-1.037335120986488E-5</v>
          </cell>
          <cell r="BS23">
            <v>-8.7733323105745035E-6</v>
          </cell>
          <cell r="BT23">
            <v>-9.7068207155143259E-6</v>
          </cell>
          <cell r="BU23">
            <v>-7.1065884447668408E-6</v>
          </cell>
          <cell r="BV23">
            <v>-2.32056586623351E-6</v>
          </cell>
          <cell r="BW23">
            <v>-8.0125190152497595E-6</v>
          </cell>
          <cell r="BX23">
            <v>-2.4715784282874829E-5</v>
          </cell>
          <cell r="BY23">
            <v>-7.8588165806813284E-6</v>
          </cell>
          <cell r="BZ23">
            <v>6.0312627558013415E-7</v>
          </cell>
          <cell r="CA23">
            <v>-1.410900831639136E-5</v>
          </cell>
          <cell r="CB23">
            <v>-1.559218680101149E-5</v>
          </cell>
          <cell r="CC23">
            <v>9.4982269365323469E-6</v>
          </cell>
          <cell r="CD23">
            <v>2.0311869392494779E-5</v>
          </cell>
          <cell r="CE23">
            <v>1.468994510916165E-5</v>
          </cell>
        </row>
        <row r="24">
          <cell r="A24" t="str">
            <v>EURTRY Curncy</v>
          </cell>
          <cell r="B24">
            <v>1.0095197236173179E-6</v>
          </cell>
          <cell r="C24">
            <v>9.7977434111196318E-6</v>
          </cell>
          <cell r="D24">
            <v>2.279416196044705E-5</v>
          </cell>
          <cell r="E24">
            <v>1.0560388674844949E-5</v>
          </cell>
          <cell r="F24">
            <v>1.234163465177651E-5</v>
          </cell>
          <cell r="G24">
            <v>7.6911860122427484E-6</v>
          </cell>
          <cell r="H24">
            <v>4.1166636905756509E-7</v>
          </cell>
          <cell r="I24">
            <v>7.6417495755091794E-6</v>
          </cell>
          <cell r="J24">
            <v>-1.1372749662380369E-6</v>
          </cell>
          <cell r="K24">
            <v>1.007719198821364E-5</v>
          </cell>
          <cell r="L24">
            <v>1.227250137066085E-5</v>
          </cell>
          <cell r="M24">
            <v>1.380057207568968E-5</v>
          </cell>
          <cell r="N24">
            <v>1.4221997656258949E-5</v>
          </cell>
          <cell r="O24">
            <v>2.1205711575074069E-5</v>
          </cell>
          <cell r="P24">
            <v>2.624287324336778E-5</v>
          </cell>
          <cell r="Q24">
            <v>2.0921740345191572E-6</v>
          </cell>
          <cell r="R24">
            <v>2.35150842731669E-5</v>
          </cell>
          <cell r="S24">
            <v>3.7055570912234829E-5</v>
          </cell>
          <cell r="T24">
            <v>2.9358586742729699E-5</v>
          </cell>
          <cell r="U24">
            <v>2.273356875126636E-5</v>
          </cell>
          <cell r="V24">
            <v>1.2018291174043411E-5</v>
          </cell>
          <cell r="W24">
            <v>1.1734176127913271E-5</v>
          </cell>
          <cell r="X24">
            <v>2.555560881907571E-4</v>
          </cell>
          <cell r="Y24">
            <v>5.8168057742572642E-7</v>
          </cell>
          <cell r="Z24">
            <v>6.7766857249923732E-7</v>
          </cell>
          <cell r="AA24">
            <v>1.613540324266019E-6</v>
          </cell>
          <cell r="AB24">
            <v>3.1198232499261811E-6</v>
          </cell>
          <cell r="AC24">
            <v>1.6178448536798781E-5</v>
          </cell>
          <cell r="AD24">
            <v>7.5247875951549528E-7</v>
          </cell>
          <cell r="AE24">
            <v>1.016601621008583E-6</v>
          </cell>
          <cell r="AF24">
            <v>3.8294382317803278E-7</v>
          </cell>
          <cell r="AG24">
            <v>3.78054532607683E-8</v>
          </cell>
          <cell r="AH24">
            <v>2.596600881632579E-6</v>
          </cell>
          <cell r="AI24">
            <v>1.009453714438314E-5</v>
          </cell>
          <cell r="AJ24">
            <v>1.5172937347168461E-5</v>
          </cell>
          <cell r="AK24">
            <v>2.518473776671611E-6</v>
          </cell>
          <cell r="AL24">
            <v>-2.530910757259365E-6</v>
          </cell>
          <cell r="AM24">
            <v>-1.079586199403583E-5</v>
          </cell>
          <cell r="AN24">
            <v>1.371959053203225E-6</v>
          </cell>
          <cell r="AO24">
            <v>1.369250360360531E-5</v>
          </cell>
          <cell r="AP24">
            <v>-4.0949922332797602E-7</v>
          </cell>
          <cell r="AQ24">
            <v>8.9096868644390748E-9</v>
          </cell>
          <cell r="AR24">
            <v>3.0298574407740812E-6</v>
          </cell>
          <cell r="AS24">
            <v>5.0289366575585015E-7</v>
          </cell>
          <cell r="AT24">
            <v>5.3952319412778744E-6</v>
          </cell>
          <cell r="AU24">
            <v>-1.7021579627327321E-5</v>
          </cell>
          <cell r="AV24">
            <v>-1.101391925274545E-5</v>
          </cell>
          <cell r="AW24">
            <v>-2.5549726499784978E-5</v>
          </cell>
          <cell r="AX24">
            <v>-5.5150146042382932E-5</v>
          </cell>
          <cell r="AY24">
            <v>-3.0458091348822301E-5</v>
          </cell>
          <cell r="AZ24">
            <v>-5.9136261535063223E-5</v>
          </cell>
          <cell r="BA24">
            <v>-2.0649256040348501E-5</v>
          </cell>
          <cell r="BB24">
            <v>-2.9527555687721769E-5</v>
          </cell>
          <cell r="BC24">
            <v>-2.7995213422196879E-5</v>
          </cell>
          <cell r="BD24">
            <v>-2.3909010325619152E-5</v>
          </cell>
          <cell r="BE24">
            <v>-2.0649256040348501E-5</v>
          </cell>
          <cell r="BF24">
            <v>2.2244425715745351E-4</v>
          </cell>
          <cell r="BG24">
            <v>-6.0501024415381821E-5</v>
          </cell>
          <cell r="BH24">
            <v>-4.8993415368349853E-5</v>
          </cell>
          <cell r="BI24">
            <v>-3.5282152169172281E-5</v>
          </cell>
          <cell r="BJ24">
            <v>-2.9534416515236938E-5</v>
          </cell>
          <cell r="BK24">
            <v>-1.898947280404103E-5</v>
          </cell>
          <cell r="BL24">
            <v>-4.6955883149628569E-4</v>
          </cell>
          <cell r="BM24">
            <v>-1.8407523228098309E-6</v>
          </cell>
          <cell r="BN24">
            <v>-8.904257317963088E-6</v>
          </cell>
          <cell r="BO24">
            <v>-4.9205383699206489E-5</v>
          </cell>
          <cell r="BP24">
            <v>-3.0169270773715019E-5</v>
          </cell>
          <cell r="BQ24">
            <v>-3.0169270773715019E-5</v>
          </cell>
          <cell r="BR24">
            <v>-3.6342335583495737E-5</v>
          </cell>
          <cell r="BS24">
            <v>-2.645446999904886E-5</v>
          </cell>
          <cell r="BT24">
            <v>-2.4862753187113169E-5</v>
          </cell>
          <cell r="BU24">
            <v>-1.19644950727792E-5</v>
          </cell>
          <cell r="BV24">
            <v>-2.0699078699811031E-5</v>
          </cell>
          <cell r="BW24">
            <v>-2.720157040749088E-5</v>
          </cell>
          <cell r="BX24">
            <v>-9.7615472096655435E-5</v>
          </cell>
          <cell r="BY24">
            <v>-1.9062247558449351E-5</v>
          </cell>
          <cell r="BZ24">
            <v>-6.8720819647347613E-6</v>
          </cell>
          <cell r="CA24">
            <v>-2.3703766568233149E-5</v>
          </cell>
          <cell r="CB24">
            <v>-6.8845077737589853E-5</v>
          </cell>
          <cell r="CC24">
            <v>-6.0745349573719632E-6</v>
          </cell>
          <cell r="CD24">
            <v>-4.0549523436018048E-5</v>
          </cell>
          <cell r="CE24">
            <v>5.9989657825404259E-6</v>
          </cell>
        </row>
        <row r="25">
          <cell r="A25" t="str">
            <v>ER1 Comdty</v>
          </cell>
          <cell r="B25">
            <v>3.7467277475969873E-7</v>
          </cell>
          <cell r="C25">
            <v>-8.473292895554793E-7</v>
          </cell>
          <cell r="D25">
            <v>-1.202211231269033E-6</v>
          </cell>
          <cell r="E25">
            <v>-8.8447555817008149E-7</v>
          </cell>
          <cell r="F25">
            <v>9.3345318516118333E-7</v>
          </cell>
          <cell r="G25">
            <v>-7.6165703329451276E-7</v>
          </cell>
          <cell r="H25">
            <v>4.2196926599278907E-8</v>
          </cell>
          <cell r="I25">
            <v>1.8755486142372509E-7</v>
          </cell>
          <cell r="J25">
            <v>-1.8055930862502921E-7</v>
          </cell>
          <cell r="K25">
            <v>3.7004141631041899E-7</v>
          </cell>
          <cell r="L25">
            <v>8.9494171704397417E-7</v>
          </cell>
          <cell r="M25">
            <v>-2.5147630585994227E-7</v>
          </cell>
          <cell r="N25">
            <v>-6.3400148814613223E-7</v>
          </cell>
          <cell r="O25">
            <v>-9.7328778579283164E-7</v>
          </cell>
          <cell r="P25">
            <v>1.156670135633847E-7</v>
          </cell>
          <cell r="Q25">
            <v>-5.0349660102450041E-7</v>
          </cell>
          <cell r="R25">
            <v>1.5895734140214909E-7</v>
          </cell>
          <cell r="S25">
            <v>2.9771862962794089E-7</v>
          </cell>
          <cell r="T25">
            <v>-5.3405982548542151E-7</v>
          </cell>
          <cell r="U25">
            <v>-5.109053665904648E-8</v>
          </cell>
          <cell r="V25">
            <v>2.1421021320204191E-7</v>
          </cell>
          <cell r="W25">
            <v>1.0504619664014939E-7</v>
          </cell>
          <cell r="X25">
            <v>5.8168057742572642E-7</v>
          </cell>
          <cell r="Y25">
            <v>5.7046391501834488E-7</v>
          </cell>
          <cell r="Z25">
            <v>6.9401046790814204E-7</v>
          </cell>
          <cell r="AA25">
            <v>1.534069266679584E-6</v>
          </cell>
          <cell r="AB25">
            <v>2.532418843692781E-6</v>
          </cell>
          <cell r="AC25">
            <v>4.0641233569611556E-6</v>
          </cell>
          <cell r="AD25">
            <v>7.5583779632579997E-8</v>
          </cell>
          <cell r="AE25">
            <v>5.8103475818856998E-7</v>
          </cell>
          <cell r="AF25">
            <v>3.7000236909956059E-7</v>
          </cell>
          <cell r="AG25">
            <v>8.0637692846545781E-7</v>
          </cell>
          <cell r="AH25">
            <v>1.272196208910808E-6</v>
          </cell>
          <cell r="AI25">
            <v>2.151724637452031E-6</v>
          </cell>
          <cell r="AJ25">
            <v>2.4989891649084439E-6</v>
          </cell>
          <cell r="AK25">
            <v>2.6216589070902809E-6</v>
          </cell>
          <cell r="AL25">
            <v>1.0263562168323939E-6</v>
          </cell>
          <cell r="AM25">
            <v>3.3908498807125659E-6</v>
          </cell>
          <cell r="AN25">
            <v>1.494485784189554E-8</v>
          </cell>
          <cell r="AO25">
            <v>2.8793960438203468E-6</v>
          </cell>
          <cell r="AP25">
            <v>2.212026360914798E-7</v>
          </cell>
          <cell r="AQ25">
            <v>2.3889202138114822E-7</v>
          </cell>
          <cell r="AR25">
            <v>1.182839205254505E-6</v>
          </cell>
          <cell r="AS25">
            <v>7.80338803803597E-7</v>
          </cell>
          <cell r="AT25">
            <v>1.5159585245703631E-6</v>
          </cell>
          <cell r="AU25">
            <v>3.3807811458169832E-6</v>
          </cell>
          <cell r="AV25">
            <v>4.0001213069855254E-6</v>
          </cell>
          <cell r="AW25">
            <v>2.7359070900939711E-6</v>
          </cell>
          <cell r="AX25">
            <v>3.4858605546577611E-6</v>
          </cell>
          <cell r="AY25">
            <v>2.587546832617132E-6</v>
          </cell>
          <cell r="AZ25">
            <v>1.1626916715541489E-6</v>
          </cell>
          <cell r="BA25">
            <v>2.384210916988962E-6</v>
          </cell>
          <cell r="BB25">
            <v>2.6217953974471531E-6</v>
          </cell>
          <cell r="BC25">
            <v>2.6528143662355671E-6</v>
          </cell>
          <cell r="BD25">
            <v>1.47980470052943E-6</v>
          </cell>
          <cell r="BE25">
            <v>2.384210916988962E-6</v>
          </cell>
          <cell r="BF25">
            <v>-4.9079007707148764E-6</v>
          </cell>
          <cell r="BG25">
            <v>2.3224156809344739E-7</v>
          </cell>
          <cell r="BH25">
            <v>1.3842648799981701E-6</v>
          </cell>
          <cell r="BI25">
            <v>2.104871743529042E-6</v>
          </cell>
          <cell r="BJ25">
            <v>3.3253456847568632E-6</v>
          </cell>
          <cell r="BK25">
            <v>5.6539121565764642E-6</v>
          </cell>
          <cell r="BL25">
            <v>3.7973325937151029E-6</v>
          </cell>
          <cell r="BM25">
            <v>2.4227621739320181E-6</v>
          </cell>
          <cell r="BN25">
            <v>3.0807112636738438E-6</v>
          </cell>
          <cell r="BO25">
            <v>2.3346304802040779E-6</v>
          </cell>
          <cell r="BP25">
            <v>2.516249680399077E-6</v>
          </cell>
          <cell r="BQ25">
            <v>2.516249680399077E-6</v>
          </cell>
          <cell r="BR25">
            <v>2.3498023818025658E-6</v>
          </cell>
          <cell r="BS25">
            <v>1.7740326913228521E-6</v>
          </cell>
          <cell r="BT25">
            <v>1.5493611699613121E-6</v>
          </cell>
          <cell r="BU25">
            <v>9.3432833963787064E-7</v>
          </cell>
          <cell r="BV25">
            <v>3.541748258332528E-6</v>
          </cell>
          <cell r="BW25">
            <v>2.5299752094609461E-6</v>
          </cell>
          <cell r="BX25">
            <v>3.036401178354937E-6</v>
          </cell>
          <cell r="BY25">
            <v>-1.5590776727593209E-6</v>
          </cell>
          <cell r="BZ25">
            <v>2.0316547486679038E-6</v>
          </cell>
          <cell r="CA25">
            <v>3.9153383460735423E-7</v>
          </cell>
          <cell r="CB25">
            <v>7.951359141664691E-6</v>
          </cell>
          <cell r="CC25">
            <v>1.3088216710093E-6</v>
          </cell>
          <cell r="CD25">
            <v>7.2610438121118578E-7</v>
          </cell>
          <cell r="CE25">
            <v>2.6162648695148662E-6</v>
          </cell>
        </row>
        <row r="26">
          <cell r="A26" t="str">
            <v>DU1 Comdty</v>
          </cell>
          <cell r="B26">
            <v>-5.4938043590183572E-7</v>
          </cell>
          <cell r="C26">
            <v>-1.37390604042609E-6</v>
          </cell>
          <cell r="D26">
            <v>-9.1772842908089696E-7</v>
          </cell>
          <cell r="E26">
            <v>-7.3138207816747048E-7</v>
          </cell>
          <cell r="F26">
            <v>5.0878122246018799E-7</v>
          </cell>
          <cell r="G26">
            <v>-1.384286764157293E-6</v>
          </cell>
          <cell r="H26">
            <v>-2.4966412990549042E-6</v>
          </cell>
          <cell r="I26">
            <v>-5.3143562616017866E-7</v>
          </cell>
          <cell r="J26">
            <v>-3.998313452353739E-7</v>
          </cell>
          <cell r="K26">
            <v>6.0073125012493843E-8</v>
          </cell>
          <cell r="L26">
            <v>4.7242294309557261E-7</v>
          </cell>
          <cell r="M26">
            <v>-2.9081155617004602E-7</v>
          </cell>
          <cell r="N26">
            <v>-5.2204262004770157E-7</v>
          </cell>
          <cell r="O26">
            <v>-1.191674061887148E-6</v>
          </cell>
          <cell r="P26">
            <v>1.76108367586226E-6</v>
          </cell>
          <cell r="Q26">
            <v>1.6541193958070291E-7</v>
          </cell>
          <cell r="R26">
            <v>2.305154463659981E-6</v>
          </cell>
          <cell r="S26">
            <v>1.5625915806641179E-6</v>
          </cell>
          <cell r="T26">
            <v>8.4636562472018996E-7</v>
          </cell>
          <cell r="U26">
            <v>-3.9839556904423718E-7</v>
          </cell>
          <cell r="V26">
            <v>9.4804234345012118E-8</v>
          </cell>
          <cell r="W26">
            <v>-2.7574979119702039E-7</v>
          </cell>
          <cell r="X26">
            <v>6.7766857249923732E-7</v>
          </cell>
          <cell r="Y26">
            <v>6.9401046790814204E-7</v>
          </cell>
          <cell r="Z26">
            <v>1.545214697693885E-6</v>
          </cell>
          <cell r="AA26">
            <v>3.6606939934263279E-6</v>
          </cell>
          <cell r="AB26">
            <v>6.2239460669209754E-6</v>
          </cell>
          <cell r="AC26">
            <v>1.091549546427387E-5</v>
          </cell>
          <cell r="AD26">
            <v>8.8510689091397397E-8</v>
          </cell>
          <cell r="AE26">
            <v>8.1383881872011114E-7</v>
          </cell>
          <cell r="AF26">
            <v>8.2864975931122391E-7</v>
          </cell>
          <cell r="AG26">
            <v>2.0877593298304361E-6</v>
          </cell>
          <cell r="AH26">
            <v>3.2704597883624489E-6</v>
          </cell>
          <cell r="AI26">
            <v>5.570925567172569E-6</v>
          </cell>
          <cell r="AJ26">
            <v>6.7164939007588004E-6</v>
          </cell>
          <cell r="AK26">
            <v>6.0318160698410319E-6</v>
          </cell>
          <cell r="AL26">
            <v>1.9728269914016721E-6</v>
          </cell>
          <cell r="AM26">
            <v>6.6195226386699659E-6</v>
          </cell>
          <cell r="AN26">
            <v>4.8650122708256229E-8</v>
          </cell>
          <cell r="AO26">
            <v>5.2698758120632751E-6</v>
          </cell>
          <cell r="AP26">
            <v>5.7387152095746333E-7</v>
          </cell>
          <cell r="AQ26">
            <v>6.2025279580482242E-7</v>
          </cell>
          <cell r="AR26">
            <v>3.9724878079185734E-6</v>
          </cell>
          <cell r="AS26">
            <v>1.637688816399871E-6</v>
          </cell>
          <cell r="AT26">
            <v>3.6674189830574489E-6</v>
          </cell>
          <cell r="AU26">
            <v>3.4175577666625941E-6</v>
          </cell>
          <cell r="AV26">
            <v>4.8038091230215E-6</v>
          </cell>
          <cell r="AW26">
            <v>2.2047725691606919E-6</v>
          </cell>
          <cell r="AX26">
            <v>2.9108139597951709E-6</v>
          </cell>
          <cell r="AY26">
            <v>1.134202491130025E-6</v>
          </cell>
          <cell r="AZ26">
            <v>-5.3690620658683823E-6</v>
          </cell>
          <cell r="BA26">
            <v>2.279705153634591E-7</v>
          </cell>
          <cell r="BB26">
            <v>1.8713345801053379E-6</v>
          </cell>
          <cell r="BC26">
            <v>1.1668255506017249E-6</v>
          </cell>
          <cell r="BD26">
            <v>-5.660611248548152E-8</v>
          </cell>
          <cell r="BE26">
            <v>2.279705153634591E-7</v>
          </cell>
          <cell r="BF26">
            <v>5.2357533085238657E-6</v>
          </cell>
          <cell r="BG26">
            <v>2.41972518800537E-7</v>
          </cell>
          <cell r="BH26">
            <v>-3.7706864924387231E-6</v>
          </cell>
          <cell r="BI26">
            <v>-2.7493123625363441E-6</v>
          </cell>
          <cell r="BJ26">
            <v>3.3033358247739858E-6</v>
          </cell>
          <cell r="BK26">
            <v>7.0703416528181074E-6</v>
          </cell>
          <cell r="BL26">
            <v>-3.6105203388206171E-7</v>
          </cell>
          <cell r="BM26">
            <v>-6.3124923565825087E-7</v>
          </cell>
          <cell r="BN26">
            <v>-9.8313075725550096E-7</v>
          </cell>
          <cell r="BO26">
            <v>-5.7944585282708341E-8</v>
          </cell>
          <cell r="BP26">
            <v>2.58623176866602E-7</v>
          </cell>
          <cell r="BQ26">
            <v>2.58623176866602E-7</v>
          </cell>
          <cell r="BR26">
            <v>1.5044103618091831E-7</v>
          </cell>
          <cell r="BS26">
            <v>-4.5583003939961708E-7</v>
          </cell>
          <cell r="BT26">
            <v>-6.3153743105259169E-7</v>
          </cell>
          <cell r="BU26">
            <v>2.8087601834250822E-7</v>
          </cell>
          <cell r="BV26">
            <v>2.7988323007643181E-6</v>
          </cell>
          <cell r="BW26">
            <v>1.039630914077917E-6</v>
          </cell>
          <cell r="BX26">
            <v>-3.9395146992673551E-6</v>
          </cell>
          <cell r="BY26">
            <v>-3.9123272805576929E-6</v>
          </cell>
          <cell r="BZ26">
            <v>6.158574106187836E-7</v>
          </cell>
          <cell r="CA26">
            <v>-3.2191182069913868E-6</v>
          </cell>
          <cell r="CB26">
            <v>4.0916781925109064E-6</v>
          </cell>
          <cell r="CC26">
            <v>1.8969378366341101E-6</v>
          </cell>
          <cell r="CD26">
            <v>-4.3345385474160388E-7</v>
          </cell>
          <cell r="CE26">
            <v>1.218190081146324E-7</v>
          </cell>
        </row>
        <row r="27">
          <cell r="A27" t="str">
            <v>OE1 Comdty</v>
          </cell>
          <cell r="B27">
            <v>-2.363634893407945E-6</v>
          </cell>
          <cell r="C27">
            <v>-4.7492944929260344E-6</v>
          </cell>
          <cell r="D27">
            <v>-4.0289084158558118E-6</v>
          </cell>
          <cell r="E27">
            <v>-2.4354629666227682E-6</v>
          </cell>
          <cell r="F27">
            <v>9.9434162321757657E-7</v>
          </cell>
          <cell r="G27">
            <v>-4.893359645363464E-6</v>
          </cell>
          <cell r="H27">
            <v>-8.2187265143068834E-6</v>
          </cell>
          <cell r="I27">
            <v>-1.47952924743594E-6</v>
          </cell>
          <cell r="J27">
            <v>-8.6890802505862521E-7</v>
          </cell>
          <cell r="K27">
            <v>-3.4446940008224151E-7</v>
          </cell>
          <cell r="L27">
            <v>9.4880599348742464E-7</v>
          </cell>
          <cell r="M27">
            <v>-1.2426446750445901E-6</v>
          </cell>
          <cell r="N27">
            <v>-2.7982604045116158E-6</v>
          </cell>
          <cell r="O27">
            <v>-4.0270335806934964E-6</v>
          </cell>
          <cell r="P27">
            <v>6.1669588601722338E-6</v>
          </cell>
          <cell r="Q27">
            <v>1.5499380160106709E-6</v>
          </cell>
          <cell r="R27">
            <v>5.4083523107123299E-6</v>
          </cell>
          <cell r="S27">
            <v>3.2752824084091651E-6</v>
          </cell>
          <cell r="T27">
            <v>2.891556150293798E-6</v>
          </cell>
          <cell r="U27">
            <v>-9.4352478338303535E-7</v>
          </cell>
          <cell r="V27">
            <v>2.62143936425384E-7</v>
          </cell>
          <cell r="W27">
            <v>-8.3863789272269034E-7</v>
          </cell>
          <cell r="X27">
            <v>1.613540324266019E-6</v>
          </cell>
          <cell r="Y27">
            <v>1.534069266679584E-6</v>
          </cell>
          <cell r="Z27">
            <v>3.6606939934263279E-6</v>
          </cell>
          <cell r="AA27">
            <v>1.030203650802569E-5</v>
          </cell>
          <cell r="AB27">
            <v>1.7322100587862331E-5</v>
          </cell>
          <cell r="AC27">
            <v>3.4350339088966461E-5</v>
          </cell>
          <cell r="AD27">
            <v>1.4120401747308519E-7</v>
          </cell>
          <cell r="AE27">
            <v>1.7377181165721301E-6</v>
          </cell>
          <cell r="AF27">
            <v>2.094879918738771E-6</v>
          </cell>
          <cell r="AG27">
            <v>5.8753351457917922E-6</v>
          </cell>
          <cell r="AH27">
            <v>9.3950829049471479E-6</v>
          </cell>
          <cell r="AI27">
            <v>1.6811658909709102E-5</v>
          </cell>
          <cell r="AJ27">
            <v>2.1375360567970918E-5</v>
          </cell>
          <cell r="AK27">
            <v>1.8296018993789349E-5</v>
          </cell>
          <cell r="AL27">
            <v>5.3221425067406753E-6</v>
          </cell>
          <cell r="AM27">
            <v>2.0350425402127349E-5</v>
          </cell>
          <cell r="AN27">
            <v>2.1822908377483681E-7</v>
          </cell>
          <cell r="AO27">
            <v>1.6617091212827351E-5</v>
          </cell>
          <cell r="AP27">
            <v>1.6114638442838421E-6</v>
          </cell>
          <cell r="AQ27">
            <v>1.8724191841700391E-6</v>
          </cell>
          <cell r="AR27">
            <v>1.217173937519407E-5</v>
          </cell>
          <cell r="AS27">
            <v>4.5564235417401906E-6</v>
          </cell>
          <cell r="AT27">
            <v>1.0679970102730681E-5</v>
          </cell>
          <cell r="AU27">
            <v>1.085690610921576E-5</v>
          </cell>
          <cell r="AV27">
            <v>1.46443497122097E-5</v>
          </cell>
          <cell r="AW27">
            <v>8.2440251445164732E-6</v>
          </cell>
          <cell r="AX27">
            <v>1.137347358964964E-5</v>
          </cell>
          <cell r="AY27">
            <v>6.3467468483908526E-6</v>
          </cell>
          <cell r="AZ27">
            <v>-1.222277795514232E-5</v>
          </cell>
          <cell r="BA27">
            <v>4.1152672970325223E-6</v>
          </cell>
          <cell r="BB27">
            <v>7.8019283451514677E-6</v>
          </cell>
          <cell r="BC27">
            <v>5.9370384645113469E-6</v>
          </cell>
          <cell r="BD27">
            <v>1.573981999043897E-6</v>
          </cell>
          <cell r="BE27">
            <v>4.1152672970325223E-6</v>
          </cell>
          <cell r="BF27">
            <v>-1.2901932874385431E-6</v>
          </cell>
          <cell r="BG27">
            <v>-1.3770914492721571E-6</v>
          </cell>
          <cell r="BH27">
            <v>-8.2841199057527282E-6</v>
          </cell>
          <cell r="BI27">
            <v>-3.194775193871735E-6</v>
          </cell>
          <cell r="BJ27">
            <v>1.297067246385772E-5</v>
          </cell>
          <cell r="BK27">
            <v>2.2710788809127301E-5</v>
          </cell>
          <cell r="BL27">
            <v>-7.5272458799425899E-6</v>
          </cell>
          <cell r="BM27">
            <v>1.5664331798397861E-6</v>
          </cell>
          <cell r="BN27">
            <v>-1.761622211507115E-6</v>
          </cell>
          <cell r="BO27">
            <v>1.6130574437022309E-6</v>
          </cell>
          <cell r="BP27">
            <v>1.774323133678487E-6</v>
          </cell>
          <cell r="BQ27">
            <v>1.774323133678487E-6</v>
          </cell>
          <cell r="BR27">
            <v>1.7463395959215249E-6</v>
          </cell>
          <cell r="BS27">
            <v>-3.8784259587710479E-7</v>
          </cell>
          <cell r="BT27">
            <v>-3.4808956740626899E-6</v>
          </cell>
          <cell r="BU27">
            <v>-5.3794697391390611E-8</v>
          </cell>
          <cell r="BV27">
            <v>9.3372104525363272E-6</v>
          </cell>
          <cell r="BW27">
            <v>3.5914938431035951E-6</v>
          </cell>
          <cell r="BX27">
            <v>-1.016023835931305E-5</v>
          </cell>
          <cell r="BY27">
            <v>-8.0798482701477548E-6</v>
          </cell>
          <cell r="BZ27">
            <v>-4.4774288264555812E-8</v>
          </cell>
          <cell r="CA27">
            <v>-1.1525275351473001E-5</v>
          </cell>
          <cell r="CB27">
            <v>8.8210604077705342E-6</v>
          </cell>
          <cell r="CC27">
            <v>7.1194305869993123E-6</v>
          </cell>
          <cell r="CD27">
            <v>5.9823975296052249E-6</v>
          </cell>
          <cell r="CE27">
            <v>-1.466899465583968E-7</v>
          </cell>
        </row>
        <row r="28">
          <cell r="A28" t="str">
            <v>RX1 Comdty</v>
          </cell>
          <cell r="B28">
            <v>-5.7320742952977204E-6</v>
          </cell>
          <cell r="C28">
            <v>-9.5756171458084549E-6</v>
          </cell>
          <cell r="D28">
            <v>-9.9975190272886816E-6</v>
          </cell>
          <cell r="E28">
            <v>-5.7448615232775931E-6</v>
          </cell>
          <cell r="F28">
            <v>5.932797386127408E-6</v>
          </cell>
          <cell r="G28">
            <v>-1.0620948598569961E-5</v>
          </cell>
          <cell r="H28">
            <v>-1.506590650284619E-5</v>
          </cell>
          <cell r="I28">
            <v>8.324870140938862E-8</v>
          </cell>
          <cell r="J28">
            <v>-2.0031805568511041E-6</v>
          </cell>
          <cell r="K28">
            <v>7.0576968926010236E-7</v>
          </cell>
          <cell r="L28">
            <v>5.6152699763389959E-6</v>
          </cell>
          <cell r="M28">
            <v>-5.8787805050900064E-7</v>
          </cell>
          <cell r="N28">
            <v>-6.3939219185948619E-6</v>
          </cell>
          <cell r="O28">
            <v>-8.1615659034705111E-6</v>
          </cell>
          <cell r="P28">
            <v>1.100447517657521E-5</v>
          </cell>
          <cell r="Q28">
            <v>4.7407561901692288E-6</v>
          </cell>
          <cell r="R28">
            <v>9.4838649799845488E-6</v>
          </cell>
          <cell r="S28">
            <v>3.4502327206910871E-6</v>
          </cell>
          <cell r="T28">
            <v>5.6721436389671858E-6</v>
          </cell>
          <cell r="U28">
            <v>-1.040553691326735E-6</v>
          </cell>
          <cell r="V28">
            <v>4.2455504002520204E-6</v>
          </cell>
          <cell r="W28">
            <v>-4.6029699956266268E-7</v>
          </cell>
          <cell r="X28">
            <v>3.1198232499261811E-6</v>
          </cell>
          <cell r="Y28">
            <v>2.532418843692781E-6</v>
          </cell>
          <cell r="Z28">
            <v>6.2239460669209754E-6</v>
          </cell>
          <cell r="AA28">
            <v>1.7322100587862331E-5</v>
          </cell>
          <cell r="AB28">
            <v>4.0855641854320169E-5</v>
          </cell>
          <cell r="AC28">
            <v>7.4947862198970367E-5</v>
          </cell>
          <cell r="AD28">
            <v>5.3000303784595189E-8</v>
          </cell>
          <cell r="AE28">
            <v>2.8205848085005741E-6</v>
          </cell>
          <cell r="AF28">
            <v>4.0329567644765802E-6</v>
          </cell>
          <cell r="AG28">
            <v>1.222827424952523E-5</v>
          </cell>
          <cell r="AH28">
            <v>2.015660329778305E-5</v>
          </cell>
          <cell r="AI28">
            <v>3.7045893913496138E-5</v>
          </cell>
          <cell r="AJ28">
            <v>4.9115542063834892E-5</v>
          </cell>
          <cell r="AK28">
            <v>3.2070265526757912E-5</v>
          </cell>
          <cell r="AL28">
            <v>9.9864751947826089E-6</v>
          </cell>
          <cell r="AM28">
            <v>4.2295098837920623E-5</v>
          </cell>
          <cell r="AN28">
            <v>3.9726539009850402E-7</v>
          </cell>
          <cell r="AO28">
            <v>3.6474190045306122E-5</v>
          </cell>
          <cell r="AP28">
            <v>2.9867542166238739E-6</v>
          </cell>
          <cell r="AQ28">
            <v>3.9527211280341886E-6</v>
          </cell>
          <cell r="AR28">
            <v>2.780536538282656E-5</v>
          </cell>
          <cell r="AS28">
            <v>8.3505536142333015E-6</v>
          </cell>
          <cell r="AT28">
            <v>2.341795219413531E-5</v>
          </cell>
          <cell r="AU28">
            <v>3.189614482398977E-5</v>
          </cell>
          <cell r="AV28">
            <v>4.3364029732189008E-5</v>
          </cell>
          <cell r="AW28">
            <v>2.578637121344132E-5</v>
          </cell>
          <cell r="AX28">
            <v>3.2469463398970093E-5</v>
          </cell>
          <cell r="AY28">
            <v>2.4512392820832559E-5</v>
          </cell>
          <cell r="AZ28">
            <v>-8.5413125590185367E-6</v>
          </cell>
          <cell r="BA28">
            <v>1.8766190453343491E-5</v>
          </cell>
          <cell r="BB28">
            <v>2.6166712872688099E-5</v>
          </cell>
          <cell r="BC28">
            <v>2.364980446203245E-5</v>
          </cell>
          <cell r="BD28">
            <v>1.2948808258320171E-5</v>
          </cell>
          <cell r="BE28">
            <v>1.8766190453343491E-5</v>
          </cell>
          <cell r="BF28">
            <v>-5.8382215011218097E-5</v>
          </cell>
          <cell r="BG28">
            <v>5.0707363162339611E-6</v>
          </cell>
          <cell r="BH28">
            <v>-5.3205392148404577E-6</v>
          </cell>
          <cell r="BI28">
            <v>1.177039831047922E-6</v>
          </cell>
          <cell r="BJ28">
            <v>3.6698166508901983E-5</v>
          </cell>
          <cell r="BK28">
            <v>5.7572466013991763E-5</v>
          </cell>
          <cell r="BL28">
            <v>1.153255308612042E-5</v>
          </cell>
          <cell r="BM28">
            <v>1.163425873107148E-5</v>
          </cell>
          <cell r="BN28">
            <v>5.9187435279137874E-6</v>
          </cell>
          <cell r="BO28">
            <v>1.1727077699438031E-5</v>
          </cell>
          <cell r="BP28">
            <v>1.055484529294654E-5</v>
          </cell>
          <cell r="BQ28">
            <v>1.055484529294654E-5</v>
          </cell>
          <cell r="BR28">
            <v>9.8977039469613898E-6</v>
          </cell>
          <cell r="BS28">
            <v>4.1713793675665954E-6</v>
          </cell>
          <cell r="BT28">
            <v>8.6582191680372081E-6</v>
          </cell>
          <cell r="BU28">
            <v>1.339495806787676E-5</v>
          </cell>
          <cell r="BV28">
            <v>2.8265820706839661E-5</v>
          </cell>
          <cell r="BW28">
            <v>2.2219220678393279E-5</v>
          </cell>
          <cell r="BX28">
            <v>-6.9626586236605254E-6</v>
          </cell>
          <cell r="BY28">
            <v>-2.9919033311949728E-5</v>
          </cell>
          <cell r="BZ28">
            <v>7.871429710674419E-7</v>
          </cell>
          <cell r="CA28">
            <v>-2.5359047297968699E-5</v>
          </cell>
          <cell r="CB28">
            <v>-1.7858122328997379E-6</v>
          </cell>
          <cell r="CC28">
            <v>2.0026032563543361E-5</v>
          </cell>
          <cell r="CD28">
            <v>2.459999924550061E-5</v>
          </cell>
          <cell r="CE28">
            <v>2.4887485033802872E-6</v>
          </cell>
        </row>
        <row r="29">
          <cell r="A29" t="str">
            <v>UB1 Comdty</v>
          </cell>
          <cell r="B29">
            <v>-1.5286776737005419E-5</v>
          </cell>
          <cell r="C29">
            <v>-1.0624396981816709E-5</v>
          </cell>
          <cell r="D29">
            <v>-6.5058638633789233E-6</v>
          </cell>
          <cell r="E29">
            <v>-9.2673237130196801E-6</v>
          </cell>
          <cell r="F29">
            <v>1.1646417622772059E-5</v>
          </cell>
          <cell r="G29">
            <v>-1.621937669798861E-5</v>
          </cell>
          <cell r="H29">
            <v>-3.7508883105260808E-5</v>
          </cell>
          <cell r="I29">
            <v>4.1331438084353268E-7</v>
          </cell>
          <cell r="J29">
            <v>1.7552664679827009E-6</v>
          </cell>
          <cell r="K29">
            <v>3.5994824304903961E-6</v>
          </cell>
          <cell r="L29">
            <v>1.1132823736504269E-5</v>
          </cell>
          <cell r="M29">
            <v>7.4999787972170643E-6</v>
          </cell>
          <cell r="N29">
            <v>-5.7318204497966538E-6</v>
          </cell>
          <cell r="O29">
            <v>-1.229300287568694E-5</v>
          </cell>
          <cell r="P29">
            <v>4.0411529270897837E-5</v>
          </cell>
          <cell r="Q29">
            <v>2.2614575558856489E-5</v>
          </cell>
          <cell r="R29">
            <v>3.8194242235440163E-5</v>
          </cell>
          <cell r="S29">
            <v>2.6560621812228389E-5</v>
          </cell>
          <cell r="T29">
            <v>2.6358552786155931E-5</v>
          </cell>
          <cell r="U29">
            <v>4.6947650246484263E-6</v>
          </cell>
          <cell r="V29">
            <v>1.0804598431644371E-5</v>
          </cell>
          <cell r="W29">
            <v>-1.4054083943181529E-7</v>
          </cell>
          <cell r="X29">
            <v>1.6178448536798781E-5</v>
          </cell>
          <cell r="Y29">
            <v>4.0641233569611556E-6</v>
          </cell>
          <cell r="Z29">
            <v>1.091549546427387E-5</v>
          </cell>
          <cell r="AA29">
            <v>3.4350339088966461E-5</v>
          </cell>
          <cell r="AB29">
            <v>7.4947862198970367E-5</v>
          </cell>
          <cell r="AC29">
            <v>1.795862203491792E-4</v>
          </cell>
          <cell r="AD29">
            <v>5.5205421075928456E-7</v>
          </cell>
          <cell r="AE29">
            <v>4.5767429416527367E-6</v>
          </cell>
          <cell r="AF29">
            <v>8.0671072523825318E-6</v>
          </cell>
          <cell r="AG29">
            <v>2.5040002542155022E-5</v>
          </cell>
          <cell r="AH29">
            <v>4.2831963239496897E-5</v>
          </cell>
          <cell r="AI29">
            <v>8.6393820134209512E-5</v>
          </cell>
          <cell r="AJ29">
            <v>1.170895814293892E-4</v>
          </cell>
          <cell r="AK29">
            <v>7.1967930189960211E-5</v>
          </cell>
          <cell r="AL29">
            <v>1.6415835604400589E-5</v>
          </cell>
          <cell r="AM29">
            <v>7.9426490212279523E-5</v>
          </cell>
          <cell r="AN29">
            <v>1.165726225898917E-6</v>
          </cell>
          <cell r="AO29">
            <v>7.762843842852742E-5</v>
          </cell>
          <cell r="AP29">
            <v>5.5871785603816161E-6</v>
          </cell>
          <cell r="AQ29">
            <v>8.0532907444748237E-6</v>
          </cell>
          <cell r="AR29">
            <v>6.2510845759782463E-5</v>
          </cell>
          <cell r="AS29">
            <v>1.6222090532080061E-5</v>
          </cell>
          <cell r="AT29">
            <v>4.6444536914600092E-5</v>
          </cell>
          <cell r="AU29">
            <v>3.7532818854212558E-5</v>
          </cell>
          <cell r="AV29">
            <v>6.360807737956626E-5</v>
          </cell>
          <cell r="AW29">
            <v>2.2167735463677369E-5</v>
          </cell>
          <cell r="AX29">
            <v>2.5432099175638438E-5</v>
          </cell>
          <cell r="AY29">
            <v>1.377345944175677E-5</v>
          </cell>
          <cell r="AZ29">
            <v>-7.2970079465722198E-5</v>
          </cell>
          <cell r="BA29">
            <v>3.5829417815171541E-6</v>
          </cell>
          <cell r="BB29">
            <v>1.973267147385314E-5</v>
          </cell>
          <cell r="BC29">
            <v>1.060695820322539E-5</v>
          </cell>
          <cell r="BD29">
            <v>-2.6506851637852372E-6</v>
          </cell>
          <cell r="BE29">
            <v>3.5829417815171541E-6</v>
          </cell>
          <cell r="BF29">
            <v>7.6493077522166815E-5</v>
          </cell>
          <cell r="BG29">
            <v>-2.97215266362607E-6</v>
          </cell>
          <cell r="BH29">
            <v>-5.3198575611203553E-5</v>
          </cell>
          <cell r="BI29">
            <v>-4.995877805497336E-5</v>
          </cell>
          <cell r="BJ29">
            <v>3.2682602329962752E-5</v>
          </cell>
          <cell r="BK29">
            <v>8.9206840554294543E-5</v>
          </cell>
          <cell r="BL29">
            <v>-5.0325050820213072E-5</v>
          </cell>
          <cell r="BM29">
            <v>-1.423489613934235E-5</v>
          </cell>
          <cell r="BN29">
            <v>-4.0031338991233078E-5</v>
          </cell>
          <cell r="BO29">
            <v>-1.399244351217211E-5</v>
          </cell>
          <cell r="BP29">
            <v>-1.0298373853702529E-5</v>
          </cell>
          <cell r="BQ29">
            <v>-1.0298373853702529E-5</v>
          </cell>
          <cell r="BR29">
            <v>-1.1256457168573509E-5</v>
          </cell>
          <cell r="BS29">
            <v>-1.9778991623034769E-5</v>
          </cell>
          <cell r="BT29">
            <v>-5.3111377308496843E-6</v>
          </cell>
          <cell r="BU29">
            <v>1.209916100986064E-5</v>
          </cell>
          <cell r="BV29">
            <v>2.1874953652975169E-5</v>
          </cell>
          <cell r="BW29">
            <v>1.470301820011042E-5</v>
          </cell>
          <cell r="BX29">
            <v>-9.6853792390874679E-5</v>
          </cell>
          <cell r="BY29">
            <v>-6.0603212246887833E-5</v>
          </cell>
          <cell r="BZ29">
            <v>-1.0167295886130839E-5</v>
          </cell>
          <cell r="CA29">
            <v>-6.6419239120082163E-5</v>
          </cell>
          <cell r="CB29">
            <v>6.0032935418793989E-6</v>
          </cell>
          <cell r="CC29">
            <v>4.1370952771740212E-5</v>
          </cell>
          <cell r="CD29">
            <v>3.9164068438989962E-5</v>
          </cell>
          <cell r="CE29">
            <v>-1.3039330963563199E-5</v>
          </cell>
        </row>
        <row r="30">
          <cell r="A30" t="str">
            <v>FF1 Comdty</v>
          </cell>
          <cell r="B30">
            <v>-5.6066787428532282E-8</v>
          </cell>
          <cell r="C30">
            <v>4.6784617273830661E-7</v>
          </cell>
          <cell r="D30">
            <v>1.1424755892985879E-6</v>
          </cell>
          <cell r="E30">
            <v>2.5290071530469649E-7</v>
          </cell>
          <cell r="F30">
            <v>4.1946737245706012E-7</v>
          </cell>
          <cell r="G30">
            <v>3.7715697769165319E-7</v>
          </cell>
          <cell r="H30">
            <v>-3.5832328709708301E-7</v>
          </cell>
          <cell r="I30">
            <v>2.4116291976823768E-7</v>
          </cell>
          <cell r="J30">
            <v>5.5501806804495234E-7</v>
          </cell>
          <cell r="K30">
            <v>7.2506269017452587E-7</v>
          </cell>
          <cell r="L30">
            <v>3.9674664395769463E-7</v>
          </cell>
          <cell r="M30">
            <v>7.7199454872919722E-7</v>
          </cell>
          <cell r="N30">
            <v>6.7330223320483758E-7</v>
          </cell>
          <cell r="O30">
            <v>9.112890646808293E-7</v>
          </cell>
          <cell r="P30">
            <v>2.6223423987322809E-6</v>
          </cell>
          <cell r="Q30">
            <v>1.40282008344929E-6</v>
          </cell>
          <cell r="R30">
            <v>9.9867570606044452E-7</v>
          </cell>
          <cell r="S30">
            <v>3.2254952697664678E-6</v>
          </cell>
          <cell r="T30">
            <v>2.3002052899746161E-6</v>
          </cell>
          <cell r="U30">
            <v>1.3181304000037961E-6</v>
          </cell>
          <cell r="V30">
            <v>7.7885140274876523E-7</v>
          </cell>
          <cell r="W30">
            <v>4.295801059489449E-7</v>
          </cell>
          <cell r="X30">
            <v>7.5247875951549528E-7</v>
          </cell>
          <cell r="Y30">
            <v>7.5583779632579997E-8</v>
          </cell>
          <cell r="Z30">
            <v>8.8510689091397397E-8</v>
          </cell>
          <cell r="AA30">
            <v>1.4120401747308519E-7</v>
          </cell>
          <cell r="AB30">
            <v>5.3000303784595189E-8</v>
          </cell>
          <cell r="AC30">
            <v>5.5205421075928456E-7</v>
          </cell>
          <cell r="AD30">
            <v>5.6727025578012671E-7</v>
          </cell>
          <cell r="AE30">
            <v>2.8351954355285679E-7</v>
          </cell>
          <cell r="AF30">
            <v>4.3474412380286162E-7</v>
          </cell>
          <cell r="AG30">
            <v>7.5651526466642961E-7</v>
          </cell>
          <cell r="AH30">
            <v>9.2410400737002666E-7</v>
          </cell>
          <cell r="AI30">
            <v>1.77645473145159E-6</v>
          </cell>
          <cell r="AJ30">
            <v>2.7614735306691231E-6</v>
          </cell>
          <cell r="AK30">
            <v>2.255934010080057E-7</v>
          </cell>
          <cell r="AL30">
            <v>-2.2408923447382151E-7</v>
          </cell>
          <cell r="AM30">
            <v>-3.7345332388709759E-7</v>
          </cell>
          <cell r="AN30">
            <v>3.559681651978722E-8</v>
          </cell>
          <cell r="AO30">
            <v>8.6127942376793266E-8</v>
          </cell>
          <cell r="AP30">
            <v>2.8406620049954061E-8</v>
          </cell>
          <cell r="AQ30">
            <v>2.4591902518279431E-8</v>
          </cell>
          <cell r="AR30">
            <v>7.0544837835623887E-7</v>
          </cell>
          <cell r="AS30">
            <v>-4.5962720578419122E-8</v>
          </cell>
          <cell r="AT30">
            <v>-1.9594829986946781E-7</v>
          </cell>
          <cell r="AU30">
            <v>-1.7702476218756111E-6</v>
          </cell>
          <cell r="AV30">
            <v>-6.9249183267694127E-7</v>
          </cell>
          <cell r="AW30">
            <v>-2.571656984947531E-6</v>
          </cell>
          <cell r="AX30">
            <v>-3.3842639582140548E-6</v>
          </cell>
          <cell r="AY30">
            <v>-3.552971414772901E-6</v>
          </cell>
          <cell r="AZ30">
            <v>-6.1268788414264391E-6</v>
          </cell>
          <cell r="BA30">
            <v>-3.0757922635434278E-6</v>
          </cell>
          <cell r="BB30">
            <v>-2.8703791580355162E-6</v>
          </cell>
          <cell r="BC30">
            <v>-3.428867646426515E-6</v>
          </cell>
          <cell r="BD30">
            <v>-2.9040323754969029E-6</v>
          </cell>
          <cell r="BE30">
            <v>-3.0757922635434278E-6</v>
          </cell>
          <cell r="BF30">
            <v>2.3510997245867872E-5</v>
          </cell>
          <cell r="BG30">
            <v>-5.7150892707743033E-6</v>
          </cell>
          <cell r="BH30">
            <v>-5.3985633213348242E-6</v>
          </cell>
          <cell r="BI30">
            <v>-3.910664662471077E-6</v>
          </cell>
          <cell r="BJ30">
            <v>-3.707348133029556E-6</v>
          </cell>
          <cell r="BK30">
            <v>-1.9562933337437069E-6</v>
          </cell>
          <cell r="BL30">
            <v>-1.1769553726973619E-5</v>
          </cell>
          <cell r="BM30">
            <v>-3.471667109089219E-6</v>
          </cell>
          <cell r="BN30">
            <v>-2.6938333640353889E-6</v>
          </cell>
          <cell r="BO30">
            <v>-3.822668904676635E-6</v>
          </cell>
          <cell r="BP30">
            <v>-2.1527985503154719E-6</v>
          </cell>
          <cell r="BQ30">
            <v>-2.1527985503154719E-6</v>
          </cell>
          <cell r="BR30">
            <v>-2.1598469210811639E-6</v>
          </cell>
          <cell r="BS30">
            <v>-1.99760224523342E-6</v>
          </cell>
          <cell r="BT30">
            <v>-1.312574303693597E-6</v>
          </cell>
          <cell r="BU30">
            <v>1.7263199834587881E-7</v>
          </cell>
          <cell r="BV30">
            <v>-1.6003576077042179E-6</v>
          </cell>
          <cell r="BW30">
            <v>-1.766038205444076E-6</v>
          </cell>
          <cell r="BX30">
            <v>-5.5740664902762817E-6</v>
          </cell>
          <cell r="BY30">
            <v>2.2395285998667722E-6</v>
          </cell>
          <cell r="BZ30">
            <v>1.223198815720132E-7</v>
          </cell>
          <cell r="CA30">
            <v>-1.8366347131268389E-7</v>
          </cell>
          <cell r="CB30">
            <v>1.7502732438340539E-7</v>
          </cell>
          <cell r="CC30">
            <v>5.8648791292010955E-7</v>
          </cell>
          <cell r="CD30">
            <v>-1.597635092164912E-6</v>
          </cell>
          <cell r="CE30">
            <v>-4.5444083772433382E-7</v>
          </cell>
        </row>
        <row r="31">
          <cell r="A31" t="str">
            <v>ED1 Comdty</v>
          </cell>
          <cell r="B31">
            <v>3.4896965478558118E-7</v>
          </cell>
          <cell r="C31">
            <v>3.6066069350071328E-7</v>
          </cell>
          <cell r="D31">
            <v>6.4107286630798195E-7</v>
          </cell>
          <cell r="E31">
            <v>-1.148008150811422E-7</v>
          </cell>
          <cell r="F31">
            <v>1.789434862245179E-6</v>
          </cell>
          <cell r="G31">
            <v>3.7397456079831312E-7</v>
          </cell>
          <cell r="H31">
            <v>-8.9738662420525382E-7</v>
          </cell>
          <cell r="I31">
            <v>9.4906205156973821E-7</v>
          </cell>
          <cell r="J31">
            <v>1.045622962544736E-7</v>
          </cell>
          <cell r="K31">
            <v>1.251102613087446E-6</v>
          </cell>
          <cell r="L31">
            <v>1.671096641308868E-6</v>
          </cell>
          <cell r="M31">
            <v>1.162978403727848E-6</v>
          </cell>
          <cell r="N31">
            <v>8.8318327272630837E-7</v>
          </cell>
          <cell r="O31">
            <v>4.634248462335767E-7</v>
          </cell>
          <cell r="P31">
            <v>2.5607406027465028E-6</v>
          </cell>
          <cell r="Q31">
            <v>-6.5508125277153918E-7</v>
          </cell>
          <cell r="R31">
            <v>1.613291262547251E-6</v>
          </cell>
          <cell r="S31">
            <v>3.5305652994120791E-6</v>
          </cell>
          <cell r="T31">
            <v>1.625116174561968E-6</v>
          </cell>
          <cell r="U31">
            <v>1.646703114876982E-6</v>
          </cell>
          <cell r="V31">
            <v>1.405490648773669E-6</v>
          </cell>
          <cell r="W31">
            <v>9.7911116147633683E-7</v>
          </cell>
          <cell r="X31">
            <v>1.016601621008583E-6</v>
          </cell>
          <cell r="Y31">
            <v>5.8103475818856998E-7</v>
          </cell>
          <cell r="Z31">
            <v>8.1383881872011114E-7</v>
          </cell>
          <cell r="AA31">
            <v>1.7377181165721301E-6</v>
          </cell>
          <cell r="AB31">
            <v>2.8205848085005741E-6</v>
          </cell>
          <cell r="AC31">
            <v>4.5767429416527367E-6</v>
          </cell>
          <cell r="AD31">
            <v>2.8351954355285679E-7</v>
          </cell>
          <cell r="AE31">
            <v>1.034989631578533E-6</v>
          </cell>
          <cell r="AF31">
            <v>9.2030918555088087E-7</v>
          </cell>
          <cell r="AG31">
            <v>1.8179488852720941E-6</v>
          </cell>
          <cell r="AH31">
            <v>2.522759248186555E-6</v>
          </cell>
          <cell r="AI31">
            <v>4.0891312628606732E-6</v>
          </cell>
          <cell r="AJ31">
            <v>5.1163558985268068E-6</v>
          </cell>
          <cell r="AK31">
            <v>3.0031999883817322E-6</v>
          </cell>
          <cell r="AL31">
            <v>8.3098955655669831E-7</v>
          </cell>
          <cell r="AM31">
            <v>2.9318659256272561E-6</v>
          </cell>
          <cell r="AN31">
            <v>5.8205712620720699E-8</v>
          </cell>
          <cell r="AO31">
            <v>2.7833645050706771E-6</v>
          </cell>
          <cell r="AP31">
            <v>3.8702710603554068E-7</v>
          </cell>
          <cell r="AQ31">
            <v>3.4092802765160552E-7</v>
          </cell>
          <cell r="AR31">
            <v>2.452530001113118E-6</v>
          </cell>
          <cell r="AS31">
            <v>8.0549143074500486E-7</v>
          </cell>
          <cell r="AT31">
            <v>2.0889483230048549E-6</v>
          </cell>
          <cell r="AU31">
            <v>1.477496106944275E-6</v>
          </cell>
          <cell r="AV31">
            <v>2.931802380767177E-6</v>
          </cell>
          <cell r="AW31">
            <v>2.537108828769036E-7</v>
          </cell>
          <cell r="AX31">
            <v>2.5566383416400738E-7</v>
          </cell>
          <cell r="AY31">
            <v>-3.3306292038598698E-7</v>
          </cell>
          <cell r="AZ31">
            <v>-3.3369433586819049E-6</v>
          </cell>
          <cell r="BA31">
            <v>-4.4256720228726121E-7</v>
          </cell>
          <cell r="BB31">
            <v>-2.524783259380242E-7</v>
          </cell>
          <cell r="BC31">
            <v>-4.655624346708541E-7</v>
          </cell>
          <cell r="BD31">
            <v>-1.0482501789161939E-6</v>
          </cell>
          <cell r="BE31">
            <v>-4.4256720228726121E-7</v>
          </cell>
          <cell r="BF31">
            <v>1.5016051352463639E-5</v>
          </cell>
          <cell r="BG31">
            <v>-3.2313937995296329E-6</v>
          </cell>
          <cell r="BH31">
            <v>-2.796528491662879E-6</v>
          </cell>
          <cell r="BI31">
            <v>-1.786189924691934E-6</v>
          </cell>
          <cell r="BJ31">
            <v>-4.1440234241393571E-7</v>
          </cell>
          <cell r="BK31">
            <v>2.9524511382023419E-6</v>
          </cell>
          <cell r="BL31">
            <v>-3.2832649027681779E-6</v>
          </cell>
          <cell r="BM31">
            <v>-3.6085020029215801E-7</v>
          </cell>
          <cell r="BN31">
            <v>1.689558687872849E-7</v>
          </cell>
          <cell r="BO31">
            <v>-9.5817328450407784E-7</v>
          </cell>
          <cell r="BP31">
            <v>-3.8992396496198471E-7</v>
          </cell>
          <cell r="BQ31">
            <v>-3.8992396496198471E-7</v>
          </cell>
          <cell r="BR31">
            <v>-4.204456809169781E-7</v>
          </cell>
          <cell r="BS31">
            <v>-8.0391128792147223E-7</v>
          </cell>
          <cell r="BT31">
            <v>1.653685608785423E-6</v>
          </cell>
          <cell r="BU31">
            <v>9.8655024302007514E-7</v>
          </cell>
          <cell r="BV31">
            <v>2.0402489711777649E-6</v>
          </cell>
          <cell r="BW31">
            <v>1.55186292582252E-6</v>
          </cell>
          <cell r="BX31">
            <v>-4.7636100444389427E-6</v>
          </cell>
          <cell r="BY31">
            <v>-4.1727510672713032E-7</v>
          </cell>
          <cell r="BZ31">
            <v>1.55178041833878E-6</v>
          </cell>
          <cell r="CA31">
            <v>-1.356770184060282E-6</v>
          </cell>
          <cell r="CB31">
            <v>5.8418222186557844E-6</v>
          </cell>
          <cell r="CC31">
            <v>2.439374323607991E-6</v>
          </cell>
          <cell r="CD31">
            <v>2.9623019088844132E-7</v>
          </cell>
          <cell r="CE31">
            <v>2.5338761667722651E-6</v>
          </cell>
        </row>
        <row r="32">
          <cell r="A32" t="str">
            <v>TU1 Comdty</v>
          </cell>
          <cell r="B32">
            <v>-3.4955930424952418E-7</v>
          </cell>
          <cell r="C32">
            <v>1.2022954224133E-6</v>
          </cell>
          <cell r="D32">
            <v>1.899651033959407E-6</v>
          </cell>
          <cell r="E32">
            <v>3.8281020815604791E-7</v>
          </cell>
          <cell r="F32">
            <v>2.2473778963381158E-6</v>
          </cell>
          <cell r="G32">
            <v>1.1067762952524061E-6</v>
          </cell>
          <cell r="H32">
            <v>-2.4171247102325111E-6</v>
          </cell>
          <cell r="I32">
            <v>1.441973546045667E-6</v>
          </cell>
          <cell r="J32">
            <v>8.1510016781884952E-7</v>
          </cell>
          <cell r="K32">
            <v>1.8675860536869751E-6</v>
          </cell>
          <cell r="L32">
            <v>2.0816034034105711E-6</v>
          </cell>
          <cell r="M32">
            <v>2.505147573490981E-6</v>
          </cell>
          <cell r="N32">
            <v>2.1059803778692101E-6</v>
          </cell>
          <cell r="O32">
            <v>1.3713621831592509E-6</v>
          </cell>
          <cell r="P32">
            <v>6.2675120393415693E-6</v>
          </cell>
          <cell r="Q32">
            <v>1.8872518762663341E-6</v>
          </cell>
          <cell r="R32">
            <v>4.0933024109991604E-6</v>
          </cell>
          <cell r="S32">
            <v>6.369906007876885E-6</v>
          </cell>
          <cell r="T32">
            <v>4.2502150174823371E-6</v>
          </cell>
          <cell r="U32">
            <v>3.188125706625363E-6</v>
          </cell>
          <cell r="V32">
            <v>2.2434508427678112E-6</v>
          </cell>
          <cell r="W32">
            <v>1.145216957348616E-6</v>
          </cell>
          <cell r="X32">
            <v>3.8294382317803278E-7</v>
          </cell>
          <cell r="Y32">
            <v>3.7000236909956059E-7</v>
          </cell>
          <cell r="Z32">
            <v>8.2864975931122391E-7</v>
          </cell>
          <cell r="AA32">
            <v>2.094879918738771E-6</v>
          </cell>
          <cell r="AB32">
            <v>4.0329567644765802E-6</v>
          </cell>
          <cell r="AC32">
            <v>8.0671072523825318E-6</v>
          </cell>
          <cell r="AD32">
            <v>4.3474412380286162E-7</v>
          </cell>
          <cell r="AE32">
            <v>9.2030918555088087E-7</v>
          </cell>
          <cell r="AF32">
            <v>1.638262168847912E-6</v>
          </cell>
          <cell r="AG32">
            <v>3.474690943748843E-6</v>
          </cell>
          <cell r="AH32">
            <v>4.6388930333955383E-6</v>
          </cell>
          <cell r="AI32">
            <v>7.8456053452427589E-6</v>
          </cell>
          <cell r="AJ32">
            <v>1.0493054378822699E-5</v>
          </cell>
          <cell r="AK32">
            <v>4.108490282947374E-6</v>
          </cell>
          <cell r="AL32">
            <v>9.5602606668954193E-7</v>
          </cell>
          <cell r="AM32">
            <v>3.9965277207030852E-6</v>
          </cell>
          <cell r="AN32">
            <v>1.097667343350573E-7</v>
          </cell>
          <cell r="AO32">
            <v>3.7288046321991261E-6</v>
          </cell>
          <cell r="AP32">
            <v>5.7409007427974346E-7</v>
          </cell>
          <cell r="AQ32">
            <v>5.4604709851388822E-7</v>
          </cell>
          <cell r="AR32">
            <v>4.8429254053987979E-6</v>
          </cell>
          <cell r="AS32">
            <v>9.547292127451527E-7</v>
          </cell>
          <cell r="AT32">
            <v>3.4007303572224429E-6</v>
          </cell>
          <cell r="AU32">
            <v>-1.2516403858056309E-6</v>
          </cell>
          <cell r="AV32">
            <v>1.1952520779725989E-6</v>
          </cell>
          <cell r="AW32">
            <v>-2.7529928560740651E-6</v>
          </cell>
          <cell r="AX32">
            <v>-3.3335492346371471E-6</v>
          </cell>
          <cell r="AY32">
            <v>-3.1774563444489551E-6</v>
          </cell>
          <cell r="AZ32">
            <v>-9.3505355394276254E-6</v>
          </cell>
          <cell r="BA32">
            <v>-3.4235068043889859E-6</v>
          </cell>
          <cell r="BB32">
            <v>-3.2385717407958012E-6</v>
          </cell>
          <cell r="BC32">
            <v>-3.4395485409838781E-6</v>
          </cell>
          <cell r="BD32">
            <v>-4.2631790687846676E-6</v>
          </cell>
          <cell r="BE32">
            <v>-3.4235068043889859E-6</v>
          </cell>
          <cell r="BF32">
            <v>3.180223708341924E-5</v>
          </cell>
          <cell r="BG32">
            <v>-6.2612108959028436E-6</v>
          </cell>
          <cell r="BH32">
            <v>-8.6860874116745592E-6</v>
          </cell>
          <cell r="BI32">
            <v>-7.8455690966537456E-6</v>
          </cell>
          <cell r="BJ32">
            <v>-2.9511334795998319E-6</v>
          </cell>
          <cell r="BK32">
            <v>1.344155280488266E-6</v>
          </cell>
          <cell r="BL32">
            <v>-9.0599938268063329E-6</v>
          </cell>
          <cell r="BM32">
            <v>-5.076055494930016E-6</v>
          </cell>
          <cell r="BN32">
            <v>-7.1359884039783081E-6</v>
          </cell>
          <cell r="BO32">
            <v>-4.8013453946232149E-6</v>
          </cell>
          <cell r="BP32">
            <v>-3.5042932665904239E-6</v>
          </cell>
          <cell r="BQ32">
            <v>-3.5042932665904239E-6</v>
          </cell>
          <cell r="BR32">
            <v>-3.0831823869903198E-6</v>
          </cell>
          <cell r="BS32">
            <v>-3.8120988890308769E-6</v>
          </cell>
          <cell r="BT32">
            <v>-9.6252359811012156E-8</v>
          </cell>
          <cell r="BU32">
            <v>1.466356064011409E-6</v>
          </cell>
          <cell r="BV32">
            <v>-1.0653362042987361E-6</v>
          </cell>
          <cell r="BW32">
            <v>-5.2973405014726625E-7</v>
          </cell>
          <cell r="BX32">
            <v>-1.2377135877284269E-5</v>
          </cell>
          <cell r="BY32">
            <v>-1.429651631478079E-6</v>
          </cell>
          <cell r="BZ32">
            <v>7.3576845726163285E-7</v>
          </cell>
          <cell r="CA32">
            <v>-3.0662439241549948E-6</v>
          </cell>
          <cell r="CB32">
            <v>-5.5858181775034198E-6</v>
          </cell>
          <cell r="CC32">
            <v>4.0088224246575344E-6</v>
          </cell>
          <cell r="CD32">
            <v>1.3895789681422911E-6</v>
          </cell>
          <cell r="CE32">
            <v>-6.5504148866921068E-7</v>
          </cell>
        </row>
        <row r="33">
          <cell r="A33" t="str">
            <v>FV1 Comdty</v>
          </cell>
          <cell r="B33">
            <v>-2.1481098180211941E-6</v>
          </cell>
          <cell r="C33">
            <v>1.1115446040355439E-6</v>
          </cell>
          <cell r="D33">
            <v>2.9278652491663111E-6</v>
          </cell>
          <cell r="E33">
            <v>3.5168243554139532E-7</v>
          </cell>
          <cell r="F33">
            <v>5.1290011431791398E-6</v>
          </cell>
          <cell r="G33">
            <v>1.2839058142921059E-6</v>
          </cell>
          <cell r="H33">
            <v>-6.8445932575280684E-6</v>
          </cell>
          <cell r="I33">
            <v>3.1453192962546841E-6</v>
          </cell>
          <cell r="J33">
            <v>1.4347562173142661E-6</v>
          </cell>
          <cell r="K33">
            <v>3.7356533301364371E-6</v>
          </cell>
          <cell r="L33">
            <v>4.7267690611966867E-6</v>
          </cell>
          <cell r="M33">
            <v>5.2778684659192096E-6</v>
          </cell>
          <cell r="N33">
            <v>3.2736471853000909E-6</v>
          </cell>
          <cell r="O33">
            <v>1.7147855951851629E-6</v>
          </cell>
          <cell r="P33">
            <v>1.396009889172609E-5</v>
          </cell>
          <cell r="Q33">
            <v>5.8796373185905781E-6</v>
          </cell>
          <cell r="R33">
            <v>1.001537819778185E-5</v>
          </cell>
          <cell r="S33">
            <v>1.29994672253963E-5</v>
          </cell>
          <cell r="T33">
            <v>1.018704417964943E-5</v>
          </cell>
          <cell r="U33">
            <v>7.2457243460275446E-6</v>
          </cell>
          <cell r="V33">
            <v>5.1256890181525444E-6</v>
          </cell>
          <cell r="W33">
            <v>1.8661328915899991E-6</v>
          </cell>
          <cell r="X33">
            <v>3.78054532607683E-8</v>
          </cell>
          <cell r="Y33">
            <v>8.0637692846545781E-7</v>
          </cell>
          <cell r="Z33">
            <v>2.0877593298304361E-6</v>
          </cell>
          <cell r="AA33">
            <v>5.8753351457917922E-6</v>
          </cell>
          <cell r="AB33">
            <v>1.222827424952523E-5</v>
          </cell>
          <cell r="AC33">
            <v>2.5040002542155022E-5</v>
          </cell>
          <cell r="AD33">
            <v>7.5651526466642961E-7</v>
          </cell>
          <cell r="AE33">
            <v>1.8179488852720941E-6</v>
          </cell>
          <cell r="AF33">
            <v>3.474690943748843E-6</v>
          </cell>
          <cell r="AG33">
            <v>8.6653532538385641E-6</v>
          </cell>
          <cell r="AH33">
            <v>1.227968164266994E-5</v>
          </cell>
          <cell r="AI33">
            <v>2.1381602598025699E-5</v>
          </cell>
          <cell r="AJ33">
            <v>2.9269309336053179E-5</v>
          </cell>
          <cell r="AK33">
            <v>1.210395502929269E-5</v>
          </cell>
          <cell r="AL33">
            <v>3.0424805875043548E-6</v>
          </cell>
          <cell r="AM33">
            <v>1.3166300837176811E-5</v>
          </cell>
          <cell r="AN33">
            <v>2.46754428206339E-7</v>
          </cell>
          <cell r="AO33">
            <v>1.237610934319614E-5</v>
          </cell>
          <cell r="AP33">
            <v>1.52259923271009E-6</v>
          </cell>
          <cell r="AQ33">
            <v>1.6573069790392949E-6</v>
          </cell>
          <cell r="AR33">
            <v>1.365870725570577E-5</v>
          </cell>
          <cell r="AS33">
            <v>2.892002322082209E-6</v>
          </cell>
          <cell r="AT33">
            <v>9.730635687077174E-6</v>
          </cell>
          <cell r="AU33">
            <v>-3.3751124158383261E-7</v>
          </cell>
          <cell r="AV33">
            <v>5.7826185623429964E-6</v>
          </cell>
          <cell r="AW33">
            <v>-3.4349898963391129E-6</v>
          </cell>
          <cell r="AX33">
            <v>-4.4838032759373058E-6</v>
          </cell>
          <cell r="AY33">
            <v>-3.9700589787163709E-6</v>
          </cell>
          <cell r="AZ33">
            <v>-2.28445865467983E-5</v>
          </cell>
          <cell r="BA33">
            <v>-5.032694328027896E-6</v>
          </cell>
          <cell r="BB33">
            <v>-3.8505530521609866E-6</v>
          </cell>
          <cell r="BC33">
            <v>-4.5897612928442346E-6</v>
          </cell>
          <cell r="BD33">
            <v>-7.1997855563183037E-6</v>
          </cell>
          <cell r="BE33">
            <v>-5.032694328027896E-6</v>
          </cell>
          <cell r="BF33">
            <v>5.8258398538707017E-5</v>
          </cell>
          <cell r="BG33">
            <v>-1.7162454452108011E-5</v>
          </cell>
          <cell r="BH33">
            <v>-2.116286090228629E-5</v>
          </cell>
          <cell r="BI33">
            <v>-1.366758803980868E-5</v>
          </cell>
          <cell r="BJ33">
            <v>-2.728014649763787E-6</v>
          </cell>
          <cell r="BK33">
            <v>8.4770293136097437E-6</v>
          </cell>
          <cell r="BL33">
            <v>-3.1704316893283207E-5</v>
          </cell>
          <cell r="BM33">
            <v>-1.1819248097601611E-5</v>
          </cell>
          <cell r="BN33">
            <v>-1.4248380016818081E-5</v>
          </cell>
          <cell r="BO33">
            <v>-9.2619686036440806E-6</v>
          </cell>
          <cell r="BP33">
            <v>-6.0353927940909626E-6</v>
          </cell>
          <cell r="BQ33">
            <v>-6.0353927940909626E-6</v>
          </cell>
          <cell r="BR33">
            <v>-5.4409149751872033E-6</v>
          </cell>
          <cell r="BS33">
            <v>-7.0580527947791736E-6</v>
          </cell>
          <cell r="BT33">
            <v>3.0497453216327432E-7</v>
          </cell>
          <cell r="BU33">
            <v>3.5954613568221892E-6</v>
          </cell>
          <cell r="BV33">
            <v>-6.8678283832021719E-8</v>
          </cell>
          <cell r="BW33">
            <v>6.7784234846250051E-7</v>
          </cell>
          <cell r="BX33">
            <v>-2.9937260523566429E-5</v>
          </cell>
          <cell r="BY33">
            <v>-6.3152046772485212E-6</v>
          </cell>
          <cell r="BZ33">
            <v>1.894383240812946E-6</v>
          </cell>
          <cell r="CA33">
            <v>-1.078459696482486E-5</v>
          </cell>
          <cell r="CB33">
            <v>-1.03159917776249E-5</v>
          </cell>
          <cell r="CC33">
            <v>1.209886666647558E-5</v>
          </cell>
          <cell r="CD33">
            <v>9.4813085307000689E-6</v>
          </cell>
          <cell r="CE33">
            <v>-4.4403880927465226E-6</v>
          </cell>
        </row>
        <row r="34">
          <cell r="A34" t="str">
            <v>TY1 Comdty</v>
          </cell>
          <cell r="B34">
            <v>-4.0548523363695849E-6</v>
          </cell>
          <cell r="C34">
            <v>9.0948316547386978E-7</v>
          </cell>
          <cell r="D34">
            <v>3.5773706518891989E-6</v>
          </cell>
          <cell r="E34">
            <v>-4.5624367094709378E-7</v>
          </cell>
          <cell r="F34">
            <v>7.5376188709552284E-6</v>
          </cell>
          <cell r="G34">
            <v>7.589449537816607E-7</v>
          </cell>
          <cell r="H34">
            <v>-1.1255549565653261E-5</v>
          </cell>
          <cell r="I34">
            <v>4.4762329386608774E-6</v>
          </cell>
          <cell r="J34">
            <v>2.412627459651975E-6</v>
          </cell>
          <cell r="K34">
            <v>5.3165974080615403E-6</v>
          </cell>
          <cell r="L34">
            <v>7.0192711988409976E-6</v>
          </cell>
          <cell r="M34">
            <v>7.4972115541217137E-6</v>
          </cell>
          <cell r="N34">
            <v>3.6458824170696779E-6</v>
          </cell>
          <cell r="O34">
            <v>1.3247898612048159E-6</v>
          </cell>
          <cell r="P34">
            <v>1.9617632515383191E-5</v>
          </cell>
          <cell r="Q34">
            <v>9.698997497535891E-6</v>
          </cell>
          <cell r="R34">
            <v>1.512228649496294E-5</v>
          </cell>
          <cell r="S34">
            <v>1.7825029569938149E-5</v>
          </cell>
          <cell r="T34">
            <v>1.4792975420836911E-5</v>
          </cell>
          <cell r="U34">
            <v>9.6158476941337837E-6</v>
          </cell>
          <cell r="V34">
            <v>7.9657950238861568E-6</v>
          </cell>
          <cell r="W34">
            <v>2.6355308234501689E-6</v>
          </cell>
          <cell r="X34">
            <v>2.596600881632579E-6</v>
          </cell>
          <cell r="Y34">
            <v>1.272196208910808E-6</v>
          </cell>
          <cell r="Z34">
            <v>3.2704597883624489E-6</v>
          </cell>
          <cell r="AA34">
            <v>9.3950829049471479E-6</v>
          </cell>
          <cell r="AB34">
            <v>2.015660329778305E-5</v>
          </cell>
          <cell r="AC34">
            <v>4.2831963239496897E-5</v>
          </cell>
          <cell r="AD34">
            <v>9.2410400737002666E-7</v>
          </cell>
          <cell r="AE34">
            <v>2.522759248186555E-6</v>
          </cell>
          <cell r="AF34">
            <v>4.6388930333955383E-6</v>
          </cell>
          <cell r="AG34">
            <v>1.227968164266994E-5</v>
          </cell>
          <cell r="AH34">
            <v>1.9239631490792851E-5</v>
          </cell>
          <cell r="AI34">
            <v>3.5007017497718002E-5</v>
          </cell>
          <cell r="AJ34">
            <v>4.8254043444681083E-5</v>
          </cell>
          <cell r="AK34">
            <v>1.977578870545479E-5</v>
          </cell>
          <cell r="AL34">
            <v>4.8114238408809468E-6</v>
          </cell>
          <cell r="AM34">
            <v>2.1518508577659081E-5</v>
          </cell>
          <cell r="AN34">
            <v>4.1898179391062818E-7</v>
          </cell>
          <cell r="AO34">
            <v>2.0560588176944822E-5</v>
          </cell>
          <cell r="AP34">
            <v>2.2506248285282919E-6</v>
          </cell>
          <cell r="AQ34">
            <v>2.7297213517397231E-6</v>
          </cell>
          <cell r="AR34">
            <v>2.213500447321141E-5</v>
          </cell>
          <cell r="AS34">
            <v>4.8707065144587458E-6</v>
          </cell>
          <cell r="AT34">
            <v>1.552447055143408E-5</v>
          </cell>
          <cell r="AU34">
            <v>1.9285784745467849E-6</v>
          </cell>
          <cell r="AV34">
            <v>1.167682314209917E-5</v>
          </cell>
          <cell r="AW34">
            <v>-3.557954286692015E-6</v>
          </cell>
          <cell r="AX34">
            <v>-5.5965105844697424E-6</v>
          </cell>
          <cell r="AY34">
            <v>-4.6435869388810978E-6</v>
          </cell>
          <cell r="AZ34">
            <v>-3.6177219777555783E-5</v>
          </cell>
          <cell r="BA34">
            <v>-6.8047394760212172E-6</v>
          </cell>
          <cell r="BB34">
            <v>-3.8217053667513584E-6</v>
          </cell>
          <cell r="BC34">
            <v>-5.5252759895936154E-6</v>
          </cell>
          <cell r="BD34">
            <v>-9.5665181746926577E-6</v>
          </cell>
          <cell r="BE34">
            <v>-6.8047394760212172E-6</v>
          </cell>
          <cell r="BF34">
            <v>7.7709439285281434E-5</v>
          </cell>
          <cell r="BG34">
            <v>-2.314250310272396E-5</v>
          </cell>
          <cell r="BH34">
            <v>-3.3162840007187647E-5</v>
          </cell>
          <cell r="BI34">
            <v>-2.0748709078200899E-5</v>
          </cell>
          <cell r="BJ34">
            <v>-1.7958411386383401E-6</v>
          </cell>
          <cell r="BK34">
            <v>1.740897806053415E-5</v>
          </cell>
          <cell r="BL34">
            <v>-7.432850405270761E-5</v>
          </cell>
          <cell r="BM34">
            <v>-1.8440075976466691E-5</v>
          </cell>
          <cell r="BN34">
            <v>-2.000195563838513E-5</v>
          </cell>
          <cell r="BO34">
            <v>-1.420256308370988E-5</v>
          </cell>
          <cell r="BP34">
            <v>-9.318114004242E-6</v>
          </cell>
          <cell r="BQ34">
            <v>-9.318114004242E-6</v>
          </cell>
          <cell r="BR34">
            <v>-8.9402806217904034E-6</v>
          </cell>
          <cell r="BS34">
            <v>-1.1127014761626721E-5</v>
          </cell>
          <cell r="BT34">
            <v>-1.7229978518944799E-6</v>
          </cell>
          <cell r="BU34">
            <v>4.3669182451183996E-6</v>
          </cell>
          <cell r="BV34">
            <v>-7.4548015817392924E-7</v>
          </cell>
          <cell r="BW34">
            <v>1.094609896019433E-6</v>
          </cell>
          <cell r="BX34">
            <v>-4.5195316326776937E-5</v>
          </cell>
          <cell r="BY34">
            <v>-1.1914986877632219E-5</v>
          </cell>
          <cell r="BZ34">
            <v>-1.686950023545132E-6</v>
          </cell>
          <cell r="CA34">
            <v>-2.0518510132691161E-5</v>
          </cell>
          <cell r="CB34">
            <v>-9.9015590859961496E-6</v>
          </cell>
          <cell r="CC34">
            <v>2.0449573854950589E-5</v>
          </cell>
          <cell r="CD34">
            <v>1.7726755813644499E-5</v>
          </cell>
          <cell r="CE34">
            <v>-7.9516764214656288E-6</v>
          </cell>
        </row>
        <row r="35">
          <cell r="A35" t="str">
            <v>US1 Comdty</v>
          </cell>
          <cell r="B35">
            <v>-9.6267006155088871E-6</v>
          </cell>
          <cell r="C35">
            <v>2.363243454470816E-6</v>
          </cell>
          <cell r="D35">
            <v>7.0012151330782351E-6</v>
          </cell>
          <cell r="E35">
            <v>-1.8334658021769559E-6</v>
          </cell>
          <cell r="F35">
            <v>1.2651276130747721E-5</v>
          </cell>
          <cell r="G35">
            <v>-7.2206662802768146E-7</v>
          </cell>
          <cell r="H35">
            <v>-2.219099932290555E-5</v>
          </cell>
          <cell r="I35">
            <v>7.6675310746612893E-6</v>
          </cell>
          <cell r="J35">
            <v>5.3652986757528417E-6</v>
          </cell>
          <cell r="K35">
            <v>9.8566659961201964E-6</v>
          </cell>
          <cell r="L35">
            <v>1.1823733393621779E-5</v>
          </cell>
          <cell r="M35">
            <v>1.5245879915129831E-5</v>
          </cell>
          <cell r="N35">
            <v>6.1485274951560777E-6</v>
          </cell>
          <cell r="O35">
            <v>1.701063258054021E-6</v>
          </cell>
          <cell r="P35">
            <v>3.4372934226429658E-5</v>
          </cell>
          <cell r="Q35">
            <v>1.9253000889634741E-5</v>
          </cell>
          <cell r="R35">
            <v>3.0743254881910032E-5</v>
          </cell>
          <cell r="S35">
            <v>3.5710896917743183E-5</v>
          </cell>
          <cell r="T35">
            <v>3.1388308001913062E-5</v>
          </cell>
          <cell r="U35">
            <v>1.8535276285838E-5</v>
          </cell>
          <cell r="V35">
            <v>1.6685783112377781E-5</v>
          </cell>
          <cell r="W35">
            <v>4.4316388284939056E-6</v>
          </cell>
          <cell r="X35">
            <v>1.009453714438314E-5</v>
          </cell>
          <cell r="Y35">
            <v>2.151724637452031E-6</v>
          </cell>
          <cell r="Z35">
            <v>5.570925567172569E-6</v>
          </cell>
          <cell r="AA35">
            <v>1.6811658909709102E-5</v>
          </cell>
          <cell r="AB35">
            <v>3.7045893913496138E-5</v>
          </cell>
          <cell r="AC35">
            <v>8.6393820134209512E-5</v>
          </cell>
          <cell r="AD35">
            <v>1.77645473145159E-6</v>
          </cell>
          <cell r="AE35">
            <v>4.0891312628606732E-6</v>
          </cell>
          <cell r="AF35">
            <v>7.8456053452427589E-6</v>
          </cell>
          <cell r="AG35">
            <v>2.1381602598025699E-5</v>
          </cell>
          <cell r="AH35">
            <v>3.5007017497718002E-5</v>
          </cell>
          <cell r="AI35">
            <v>7.3331289253491554E-5</v>
          </cell>
          <cell r="AJ35">
            <v>1.02741488342417E-4</v>
          </cell>
          <cell r="AK35">
            <v>3.6997439209465128E-5</v>
          </cell>
          <cell r="AL35">
            <v>8.126599911119211E-6</v>
          </cell>
          <cell r="AM35">
            <v>3.950903767553842E-5</v>
          </cell>
          <cell r="AN35">
            <v>9.2114746041096224E-7</v>
          </cell>
          <cell r="AO35">
            <v>3.901123747139612E-5</v>
          </cell>
          <cell r="AP35">
            <v>3.5644525538988011E-6</v>
          </cell>
          <cell r="AQ35">
            <v>5.0964805824048016E-6</v>
          </cell>
          <cell r="AR35">
            <v>4.2900260228631557E-5</v>
          </cell>
          <cell r="AS35">
            <v>9.2519073396030095E-6</v>
          </cell>
          <cell r="AT35">
            <v>2.9568665457304829E-5</v>
          </cell>
          <cell r="AU35">
            <v>4.4530071871056589E-7</v>
          </cell>
          <cell r="AV35">
            <v>2.193683948413977E-5</v>
          </cell>
          <cell r="AW35">
            <v>-1.3151203581127161E-5</v>
          </cell>
          <cell r="AX35">
            <v>-1.6730927428379849E-5</v>
          </cell>
          <cell r="AY35">
            <v>-1.463957197964398E-5</v>
          </cell>
          <cell r="AZ35">
            <v>-8.1318223749368503E-5</v>
          </cell>
          <cell r="BA35">
            <v>-1.738056053301688E-5</v>
          </cell>
          <cell r="BB35">
            <v>-1.1319371340566409E-5</v>
          </cell>
          <cell r="BC35">
            <v>-1.5569078784089109E-5</v>
          </cell>
          <cell r="BD35">
            <v>-2.116357641850258E-5</v>
          </cell>
          <cell r="BE35">
            <v>-1.738056053301688E-5</v>
          </cell>
          <cell r="BF35">
            <v>1.6107832500224109E-4</v>
          </cell>
          <cell r="BG35">
            <v>-4.3890366953797963E-5</v>
          </cell>
          <cell r="BH35">
            <v>-7.1390187403917125E-5</v>
          </cell>
          <cell r="BI35">
            <v>-4.703132197061528E-5</v>
          </cell>
          <cell r="BJ35">
            <v>-9.0575347323587628E-6</v>
          </cell>
          <cell r="BK35">
            <v>3.055571602666829E-5</v>
          </cell>
          <cell r="BL35">
            <v>-9.4226001033649473E-5</v>
          </cell>
          <cell r="BM35">
            <v>-4.2822306120254672E-5</v>
          </cell>
          <cell r="BN35">
            <v>-4.9271638714543532E-5</v>
          </cell>
          <cell r="BO35">
            <v>-3.5330514379257899E-5</v>
          </cell>
          <cell r="BP35">
            <v>-1.9597465062143291E-5</v>
          </cell>
          <cell r="BQ35">
            <v>-1.9597465062143291E-5</v>
          </cell>
          <cell r="BR35">
            <v>-2.123420649155323E-5</v>
          </cell>
          <cell r="BS35">
            <v>-2.3840702498249739E-5</v>
          </cell>
          <cell r="BT35">
            <v>-8.0137093163464152E-7</v>
          </cell>
          <cell r="BU35">
            <v>7.9896262925884022E-6</v>
          </cell>
          <cell r="BV35">
            <v>-5.981507709256519E-6</v>
          </cell>
          <cell r="BW35">
            <v>-3.1559000394716432E-6</v>
          </cell>
          <cell r="BX35">
            <v>-1.041709153855892E-4</v>
          </cell>
          <cell r="BY35">
            <v>-2.4857534518583328E-5</v>
          </cell>
          <cell r="BZ35">
            <v>-1.2828718804660619E-5</v>
          </cell>
          <cell r="CA35">
            <v>-4.4525053914642138E-5</v>
          </cell>
          <cell r="CB35">
            <v>-7.6641504558450075E-6</v>
          </cell>
          <cell r="CC35">
            <v>3.9635793672188682E-5</v>
          </cell>
          <cell r="CD35">
            <v>3.398642342737008E-5</v>
          </cell>
          <cell r="CE35">
            <v>-2.2552711200684879E-5</v>
          </cell>
        </row>
        <row r="36">
          <cell r="A36" t="str">
            <v>WN1 Comdty</v>
          </cell>
          <cell r="B36">
            <v>-1.348342835270055E-5</v>
          </cell>
          <cell r="C36">
            <v>9.8343923584755292E-7</v>
          </cell>
          <cell r="D36">
            <v>8.0028875089649764E-6</v>
          </cell>
          <cell r="E36">
            <v>-3.353619602965555E-6</v>
          </cell>
          <cell r="F36">
            <v>1.5620661199988891E-5</v>
          </cell>
          <cell r="G36">
            <v>-3.9169568216114416E-6</v>
          </cell>
          <cell r="H36">
            <v>-2.9251625463639531E-5</v>
          </cell>
          <cell r="I36">
            <v>9.8363836969338857E-6</v>
          </cell>
          <cell r="J36">
            <v>5.1916211854939393E-6</v>
          </cell>
          <cell r="K36">
            <v>1.29522650329281E-5</v>
          </cell>
          <cell r="L36">
            <v>1.43486474043241E-5</v>
          </cell>
          <cell r="M36">
            <v>1.9969436845439089E-5</v>
          </cell>
          <cell r="N36">
            <v>7.5480228045490871E-6</v>
          </cell>
          <cell r="O36">
            <v>2.0893824142099708E-6</v>
          </cell>
          <cell r="P36">
            <v>4.6053166947441332E-5</v>
          </cell>
          <cell r="Q36">
            <v>2.6047585343653569E-5</v>
          </cell>
          <cell r="R36">
            <v>3.9180946964936581E-5</v>
          </cell>
          <cell r="S36">
            <v>5.1076122983172362E-5</v>
          </cell>
          <cell r="T36">
            <v>4.805490547863553E-5</v>
          </cell>
          <cell r="U36">
            <v>2.9388775198961701E-5</v>
          </cell>
          <cell r="V36">
            <v>2.1860912941133099E-5</v>
          </cell>
          <cell r="W36">
            <v>4.4363484754373663E-6</v>
          </cell>
          <cell r="X36">
            <v>1.5172937347168461E-5</v>
          </cell>
          <cell r="Y36">
            <v>2.4989891649084439E-6</v>
          </cell>
          <cell r="Z36">
            <v>6.7164939007588004E-6</v>
          </cell>
          <cell r="AA36">
            <v>2.1375360567970918E-5</v>
          </cell>
          <cell r="AB36">
            <v>4.9115542063834892E-5</v>
          </cell>
          <cell r="AC36">
            <v>1.170895814293892E-4</v>
          </cell>
          <cell r="AD36">
            <v>2.7614735306691231E-6</v>
          </cell>
          <cell r="AE36">
            <v>5.1163558985268068E-6</v>
          </cell>
          <cell r="AF36">
            <v>1.0493054378822699E-5</v>
          </cell>
          <cell r="AG36">
            <v>2.9269309336053179E-5</v>
          </cell>
          <cell r="AH36">
            <v>4.8254043444681083E-5</v>
          </cell>
          <cell r="AI36">
            <v>1.02741488342417E-4</v>
          </cell>
          <cell r="AJ36">
            <v>1.5709981711682159E-4</v>
          </cell>
          <cell r="AK36">
            <v>5.0651131513522491E-5</v>
          </cell>
          <cell r="AL36">
            <v>1.1726716476507469E-5</v>
          </cell>
          <cell r="AM36">
            <v>5.7293213447656368E-5</v>
          </cell>
          <cell r="AN36">
            <v>1.0540758803260229E-6</v>
          </cell>
          <cell r="AO36">
            <v>5.3052120165601007E-5</v>
          </cell>
          <cell r="AP36">
            <v>4.7746122018396668E-6</v>
          </cell>
          <cell r="AQ36">
            <v>7.2016947766376148E-6</v>
          </cell>
          <cell r="AR36">
            <v>5.8440444115570257E-5</v>
          </cell>
          <cell r="AS36">
            <v>1.193315816507633E-5</v>
          </cell>
          <cell r="AT36">
            <v>3.8258965257751399E-5</v>
          </cell>
          <cell r="AU36">
            <v>2.286816794721299E-6</v>
          </cell>
          <cell r="AV36">
            <v>3.3885417030565461E-5</v>
          </cell>
          <cell r="AW36">
            <v>-1.5751416872699801E-5</v>
          </cell>
          <cell r="AX36">
            <v>-2.4441214122115531E-5</v>
          </cell>
          <cell r="AY36">
            <v>-1.162273486660077E-5</v>
          </cell>
          <cell r="AZ36">
            <v>-1.0862375942147E-4</v>
          </cell>
          <cell r="BA36">
            <v>-1.253705789760417E-5</v>
          </cell>
          <cell r="BB36">
            <v>-8.3535072286400758E-6</v>
          </cell>
          <cell r="BC36">
            <v>-1.131850898788052E-5</v>
          </cell>
          <cell r="BD36">
            <v>-2.2497659032468719E-5</v>
          </cell>
          <cell r="BE36">
            <v>-1.253705789760417E-5</v>
          </cell>
          <cell r="BF36">
            <v>1.8181079375410739E-4</v>
          </cell>
          <cell r="BG36">
            <v>-8.3072076043331239E-5</v>
          </cell>
          <cell r="BH36">
            <v>-9.5785741287557222E-5</v>
          </cell>
          <cell r="BI36">
            <v>-4.5421579197264617E-5</v>
          </cell>
          <cell r="BJ36">
            <v>-4.6109871180021384E-6</v>
          </cell>
          <cell r="BK36">
            <v>4.9010918995021683E-5</v>
          </cell>
          <cell r="BL36">
            <v>-2.7699707923541837E-4</v>
          </cell>
          <cell r="BM36">
            <v>-4.6044534138986237E-5</v>
          </cell>
          <cell r="BN36">
            <v>-5.9841567765328748E-5</v>
          </cell>
          <cell r="BO36">
            <v>-4.4729681125295927E-5</v>
          </cell>
          <cell r="BP36">
            <v>-1.745005751980539E-5</v>
          </cell>
          <cell r="BQ36">
            <v>-1.745005751980539E-5</v>
          </cell>
          <cell r="BR36">
            <v>-2.2063836245818101E-5</v>
          </cell>
          <cell r="BS36">
            <v>-2.4359206154888071E-5</v>
          </cell>
          <cell r="BT36">
            <v>1.093348731871241E-6</v>
          </cell>
          <cell r="BU36">
            <v>1.2530069919878069E-5</v>
          </cell>
          <cell r="BV36">
            <v>-5.2519973961141184E-6</v>
          </cell>
          <cell r="BW36">
            <v>-3.0210739953747378E-7</v>
          </cell>
          <cell r="BX36">
            <v>-1.556939107441486E-4</v>
          </cell>
          <cell r="BY36">
            <v>-3.0516469544231181E-5</v>
          </cell>
          <cell r="BZ36">
            <v>-1.9035747618117811E-5</v>
          </cell>
          <cell r="CA36">
            <v>-6.5784229391010844E-5</v>
          </cell>
          <cell r="CB36">
            <v>-2.430616413246035E-5</v>
          </cell>
          <cell r="CC36">
            <v>6.0476669485041483E-5</v>
          </cell>
          <cell r="CD36">
            <v>6.1017825057803668E-5</v>
          </cell>
          <cell r="CE36">
            <v>-2.9864333581159139E-5</v>
          </cell>
        </row>
        <row r="37">
          <cell r="A37" t="str">
            <v>OAT1 Comdty</v>
          </cell>
          <cell r="B37">
            <v>-4.1519493375992688E-6</v>
          </cell>
          <cell r="C37">
            <v>-1.080129942821187E-5</v>
          </cell>
          <cell r="D37">
            <v>-1.220937320266084E-5</v>
          </cell>
          <cell r="E37">
            <v>-6.9263458469138068E-6</v>
          </cell>
          <cell r="F37">
            <v>5.2325158503388064E-6</v>
          </cell>
          <cell r="G37">
            <v>-1.0115421886229109E-5</v>
          </cell>
          <cell r="H37">
            <v>-1.4918576501896629E-5</v>
          </cell>
          <cell r="I37">
            <v>-3.5769087545717298E-7</v>
          </cell>
          <cell r="J37">
            <v>-4.9846006129102913E-7</v>
          </cell>
          <cell r="K37">
            <v>2.33768854049916E-7</v>
          </cell>
          <cell r="L37">
            <v>5.1139264082493736E-6</v>
          </cell>
          <cell r="M37">
            <v>-2.6060794406726379E-7</v>
          </cell>
          <cell r="N37">
            <v>-6.8736565998567422E-6</v>
          </cell>
          <cell r="O37">
            <v>-9.2051614310197095E-6</v>
          </cell>
          <cell r="P37">
            <v>1.53611581635333E-5</v>
          </cell>
          <cell r="Q37">
            <v>6.2628118907342108E-6</v>
          </cell>
          <cell r="R37">
            <v>1.113374318894053E-5</v>
          </cell>
          <cell r="S37">
            <v>2.8726282399793029E-6</v>
          </cell>
          <cell r="T37">
            <v>8.7226284379573605E-6</v>
          </cell>
          <cell r="U37">
            <v>3.674700387723208E-7</v>
          </cell>
          <cell r="V37">
            <v>1.400405109175239E-6</v>
          </cell>
          <cell r="W37">
            <v>-5.8887500683116681E-7</v>
          </cell>
          <cell r="X37">
            <v>2.518473776671611E-6</v>
          </cell>
          <cell r="Y37">
            <v>2.6216589070902809E-6</v>
          </cell>
          <cell r="Z37">
            <v>6.0318160698410319E-6</v>
          </cell>
          <cell r="AA37">
            <v>1.8296018993789349E-5</v>
          </cell>
          <cell r="AB37">
            <v>3.2070265526757912E-5</v>
          </cell>
          <cell r="AC37">
            <v>7.1967930189960211E-5</v>
          </cell>
          <cell r="AD37">
            <v>2.255934010080057E-7</v>
          </cell>
          <cell r="AE37">
            <v>3.0031999883817322E-6</v>
          </cell>
          <cell r="AF37">
            <v>4.108490282947374E-6</v>
          </cell>
          <cell r="AG37">
            <v>1.210395502929269E-5</v>
          </cell>
          <cell r="AH37">
            <v>1.977578870545479E-5</v>
          </cell>
          <cell r="AI37">
            <v>3.6997439209465128E-5</v>
          </cell>
          <cell r="AJ37">
            <v>5.0651131513522491E-5</v>
          </cell>
          <cell r="AK37">
            <v>4.5625729914465557E-5</v>
          </cell>
          <cell r="AL37">
            <v>1.071001750749692E-5</v>
          </cell>
          <cell r="AM37">
            <v>4.4255798727351053E-5</v>
          </cell>
          <cell r="AN37">
            <v>4.7373357739543881E-7</v>
          </cell>
          <cell r="AO37">
            <v>3.6071223216315753E-5</v>
          </cell>
          <cell r="AP37">
            <v>3.202750493384173E-6</v>
          </cell>
          <cell r="AQ37">
            <v>4.1168518408661557E-6</v>
          </cell>
          <cell r="AR37">
            <v>2.6897036832522909E-5</v>
          </cell>
          <cell r="AS37">
            <v>8.8647572478844386E-6</v>
          </cell>
          <cell r="AT37">
            <v>2.154364622474371E-5</v>
          </cell>
          <cell r="AU37">
            <v>2.894768954609977E-5</v>
          </cell>
          <cell r="AV37">
            <v>3.9113929693914081E-5</v>
          </cell>
          <cell r="AW37">
            <v>2.2403347149629791E-5</v>
          </cell>
          <cell r="AX37">
            <v>3.0463238630019651E-5</v>
          </cell>
          <cell r="AY37">
            <v>2.4147111690248519E-5</v>
          </cell>
          <cell r="AZ37">
            <v>-5.2666973878106282E-6</v>
          </cell>
          <cell r="BA37">
            <v>2.1425596453292581E-5</v>
          </cell>
          <cell r="BB37">
            <v>2.432587811237722E-5</v>
          </cell>
          <cell r="BC37">
            <v>2.336890316358912E-5</v>
          </cell>
          <cell r="BD37">
            <v>1.0870048069573051E-5</v>
          </cell>
          <cell r="BE37">
            <v>2.1425596453292581E-5</v>
          </cell>
          <cell r="BF37">
            <v>-6.1004935234360781E-5</v>
          </cell>
          <cell r="BG37">
            <v>-2.8638444705149411E-6</v>
          </cell>
          <cell r="BH37">
            <v>-1.2348489122546329E-6</v>
          </cell>
          <cell r="BI37">
            <v>9.8180146434154253E-6</v>
          </cell>
          <cell r="BJ37">
            <v>3.6232083509348723E-5</v>
          </cell>
          <cell r="BK37">
            <v>5.7809695758124882E-5</v>
          </cell>
          <cell r="BL37">
            <v>-2.7305373681950678E-5</v>
          </cell>
          <cell r="BM37">
            <v>1.7909015773560031E-5</v>
          </cell>
          <cell r="BN37">
            <v>5.135594574543771E-6</v>
          </cell>
          <cell r="BO37">
            <v>1.147295776790324E-5</v>
          </cell>
          <cell r="BP37">
            <v>1.380103825554865E-5</v>
          </cell>
          <cell r="BQ37">
            <v>1.380103825554865E-5</v>
          </cell>
          <cell r="BR37">
            <v>1.441603019933166E-5</v>
          </cell>
          <cell r="BS37">
            <v>6.3800627086443777E-6</v>
          </cell>
          <cell r="BT37">
            <v>2.012787814204276E-6</v>
          </cell>
          <cell r="BU37">
            <v>1.073253431175838E-5</v>
          </cell>
          <cell r="BV37">
            <v>2.371049311703313E-5</v>
          </cell>
          <cell r="BW37">
            <v>1.820657244738866E-5</v>
          </cell>
          <cell r="BX37">
            <v>-5.5136861956887067E-6</v>
          </cell>
          <cell r="BY37">
            <v>-2.4799652132097971E-5</v>
          </cell>
          <cell r="BZ37">
            <v>-4.4301178574578874E-6</v>
          </cell>
          <cell r="CA37">
            <v>-2.7366923333189531E-5</v>
          </cell>
          <cell r="CB37">
            <v>3.742362314491939E-5</v>
          </cell>
          <cell r="CC37">
            <v>1.6219622226845191E-5</v>
          </cell>
          <cell r="CD37">
            <v>2.3745713037563371E-5</v>
          </cell>
          <cell r="CE37">
            <v>3.72715004602278E-6</v>
          </cell>
        </row>
        <row r="38">
          <cell r="A38" t="str">
            <v>BTS1 Comdty</v>
          </cell>
          <cell r="B38">
            <v>6.0405601725774787E-7</v>
          </cell>
          <cell r="C38">
            <v>-5.9572541730503902E-6</v>
          </cell>
          <cell r="D38">
            <v>-9.1310295879915615E-6</v>
          </cell>
          <cell r="E38">
            <v>-3.61986349865486E-6</v>
          </cell>
          <cell r="F38">
            <v>2.0256367639899259E-6</v>
          </cell>
          <cell r="G38">
            <v>-4.3521031384655924E-6</v>
          </cell>
          <cell r="H38">
            <v>-1.5748741819243399E-6</v>
          </cell>
          <cell r="I38">
            <v>-7.0959360075956528E-7</v>
          </cell>
          <cell r="J38">
            <v>-2.684454383950042E-6</v>
          </cell>
          <cell r="K38">
            <v>-5.6068884485835255E-7</v>
          </cell>
          <cell r="L38">
            <v>1.9000328930073249E-6</v>
          </cell>
          <cell r="M38">
            <v>-2.9094153100597449E-6</v>
          </cell>
          <cell r="N38">
            <v>-5.363322354407358E-6</v>
          </cell>
          <cell r="O38">
            <v>-6.0441960273916517E-6</v>
          </cell>
          <cell r="P38">
            <v>-1.166721473993135E-6</v>
          </cell>
          <cell r="Q38">
            <v>-2.8965082635051431E-6</v>
          </cell>
          <cell r="R38">
            <v>-2.9301880806553429E-6</v>
          </cell>
          <cell r="S38">
            <v>-5.4629692975696736E-6</v>
          </cell>
          <cell r="T38">
            <v>-5.1949279338383784E-6</v>
          </cell>
          <cell r="U38">
            <v>-9.6828968808918323E-7</v>
          </cell>
          <cell r="V38">
            <v>1.8383994684833621E-7</v>
          </cell>
          <cell r="W38">
            <v>-1.6052554760951679E-6</v>
          </cell>
          <cell r="X38">
            <v>-2.530910757259365E-6</v>
          </cell>
          <cell r="Y38">
            <v>1.0263562168323939E-6</v>
          </cell>
          <cell r="Z38">
            <v>1.9728269914016721E-6</v>
          </cell>
          <cell r="AA38">
            <v>5.3221425067406753E-6</v>
          </cell>
          <cell r="AB38">
            <v>9.9864751947826089E-6</v>
          </cell>
          <cell r="AC38">
            <v>1.6415835604400589E-5</v>
          </cell>
          <cell r="AD38">
            <v>-2.2408923447382151E-7</v>
          </cell>
          <cell r="AE38">
            <v>8.3098955655669831E-7</v>
          </cell>
          <cell r="AF38">
            <v>9.5602606668954193E-7</v>
          </cell>
          <cell r="AG38">
            <v>3.0424805875043548E-6</v>
          </cell>
          <cell r="AH38">
            <v>4.8114238408809468E-6</v>
          </cell>
          <cell r="AI38">
            <v>8.126599911119211E-6</v>
          </cell>
          <cell r="AJ38">
            <v>1.1726716476507469E-5</v>
          </cell>
          <cell r="AK38">
            <v>1.071001750749692E-5</v>
          </cell>
          <cell r="AL38">
            <v>5.8585970228451971E-6</v>
          </cell>
          <cell r="AM38">
            <v>1.88246357734547E-5</v>
          </cell>
          <cell r="AN38">
            <v>7.2159829526744413E-8</v>
          </cell>
          <cell r="AO38">
            <v>1.0359016998337551E-5</v>
          </cell>
          <cell r="AP38">
            <v>8.5733596734106984E-7</v>
          </cell>
          <cell r="AQ38">
            <v>1.064585959703435E-6</v>
          </cell>
          <cell r="AR38">
            <v>5.2984490955093157E-6</v>
          </cell>
          <cell r="AS38">
            <v>2.6165487016066041E-6</v>
          </cell>
          <cell r="AT38">
            <v>5.551240978345108E-6</v>
          </cell>
          <cell r="AU38">
            <v>1.5530618020727529E-5</v>
          </cell>
          <cell r="AV38">
            <v>1.5645764279387221E-5</v>
          </cell>
          <cell r="AW38">
            <v>1.6358101607652239E-5</v>
          </cell>
          <cell r="AX38">
            <v>2.1313749680437829E-5</v>
          </cell>
          <cell r="AY38">
            <v>1.993240491970566E-5</v>
          </cell>
          <cell r="AZ38">
            <v>1.9944354045391289E-5</v>
          </cell>
          <cell r="BA38">
            <v>1.9025925502771831E-5</v>
          </cell>
          <cell r="BB38">
            <v>1.8110409375479199E-5</v>
          </cell>
          <cell r="BC38">
            <v>2.035962426080264E-5</v>
          </cell>
          <cell r="BD38">
            <v>1.2745822933600141E-5</v>
          </cell>
          <cell r="BE38">
            <v>1.9025925502771831E-5</v>
          </cell>
          <cell r="BF38">
            <v>-8.6140938321649165E-5</v>
          </cell>
          <cell r="BG38">
            <v>2.1390086669001428E-6</v>
          </cell>
          <cell r="BH38">
            <v>1.748422400989448E-5</v>
          </cell>
          <cell r="BI38">
            <v>2.1539556624532401E-5</v>
          </cell>
          <cell r="BJ38">
            <v>2.4783270668009069E-5</v>
          </cell>
          <cell r="BK38">
            <v>2.963490494635741E-5</v>
          </cell>
          <cell r="BL38">
            <v>-1.1240971598632181E-5</v>
          </cell>
          <cell r="BM38">
            <v>2.2532362322470489E-5</v>
          </cell>
          <cell r="BN38">
            <v>1.6545897177368722E-5</v>
          </cell>
          <cell r="BO38">
            <v>1.686562839341547E-5</v>
          </cell>
          <cell r="BP38">
            <v>1.38910080719791E-5</v>
          </cell>
          <cell r="BQ38">
            <v>1.38910080719791E-5</v>
          </cell>
          <cell r="BR38">
            <v>1.431108715618981E-5</v>
          </cell>
          <cell r="BS38">
            <v>1.0708880697344399E-5</v>
          </cell>
          <cell r="BT38">
            <v>9.0731143482899931E-6</v>
          </cell>
          <cell r="BU38">
            <v>7.2749215294297651E-6</v>
          </cell>
          <cell r="BV38">
            <v>1.551168859798752E-5</v>
          </cell>
          <cell r="BW38">
            <v>1.5462342668765002E-5</v>
          </cell>
          <cell r="BX38">
            <v>2.639812000322383E-5</v>
          </cell>
          <cell r="BY38">
            <v>-7.8202484011719678E-6</v>
          </cell>
          <cell r="BZ38">
            <v>5.3062227506543447E-6</v>
          </cell>
          <cell r="CA38">
            <v>-4.333244500018539E-7</v>
          </cell>
          <cell r="CB38">
            <v>7.8237358507625909E-6</v>
          </cell>
          <cell r="CC38">
            <v>7.5519683398558043E-6</v>
          </cell>
          <cell r="CD38">
            <v>1.9423484261567129E-5</v>
          </cell>
          <cell r="CE38">
            <v>7.0936270188322121E-6</v>
          </cell>
        </row>
        <row r="39">
          <cell r="A39" t="str">
            <v>IK1 Comdty</v>
          </cell>
          <cell r="B39">
            <v>-2.0494986957810551E-6</v>
          </cell>
          <cell r="C39">
            <v>-1.8515827698733379E-5</v>
          </cell>
          <cell r="D39">
            <v>-3.0001266799534061E-5</v>
          </cell>
          <cell r="E39">
            <v>-1.3733514155265069E-5</v>
          </cell>
          <cell r="F39">
            <v>1.006412286311335E-5</v>
          </cell>
          <cell r="G39">
            <v>-1.6144395195477661E-5</v>
          </cell>
          <cell r="H39">
            <v>-8.637700846622201E-6</v>
          </cell>
          <cell r="I39">
            <v>9.8733060281307699E-7</v>
          </cell>
          <cell r="J39">
            <v>-6.3347392752638651E-6</v>
          </cell>
          <cell r="K39">
            <v>6.3977564903659179E-7</v>
          </cell>
          <cell r="L39">
            <v>9.499211672055465E-6</v>
          </cell>
          <cell r="M39">
            <v>-7.2394819201487309E-6</v>
          </cell>
          <cell r="N39">
            <v>-1.7921009778752738E-5</v>
          </cell>
          <cell r="O39">
            <v>-2.019215276325929E-5</v>
          </cell>
          <cell r="P39">
            <v>-2.992094784546165E-6</v>
          </cell>
          <cell r="Q39">
            <v>-4.7453759723114117E-6</v>
          </cell>
          <cell r="R39">
            <v>-8.6767775068077899E-6</v>
          </cell>
          <cell r="S39">
            <v>-1.347769676532445E-5</v>
          </cell>
          <cell r="T39">
            <v>-1.4645988245200819E-5</v>
          </cell>
          <cell r="U39">
            <v>-9.3892669942773173E-7</v>
          </cell>
          <cell r="V39">
            <v>2.987558292169354E-6</v>
          </cell>
          <cell r="W39">
            <v>-3.472616211925154E-6</v>
          </cell>
          <cell r="X39">
            <v>-1.079586199403583E-5</v>
          </cell>
          <cell r="Y39">
            <v>3.3908498807125659E-6</v>
          </cell>
          <cell r="Z39">
            <v>6.6195226386699659E-6</v>
          </cell>
          <cell r="AA39">
            <v>2.0350425402127349E-5</v>
          </cell>
          <cell r="AB39">
            <v>4.2295098837920623E-5</v>
          </cell>
          <cell r="AC39">
            <v>7.9426490212279523E-5</v>
          </cell>
          <cell r="AD39">
            <v>-3.7345332388709759E-7</v>
          </cell>
          <cell r="AE39">
            <v>2.9318659256272561E-6</v>
          </cell>
          <cell r="AF39">
            <v>3.9965277207030852E-6</v>
          </cell>
          <cell r="AG39">
            <v>1.3166300837176811E-5</v>
          </cell>
          <cell r="AH39">
            <v>2.1518508577659081E-5</v>
          </cell>
          <cell r="AI39">
            <v>3.950903767553842E-5</v>
          </cell>
          <cell r="AJ39">
            <v>5.7293213447656368E-5</v>
          </cell>
          <cell r="AK39">
            <v>4.4255798727351053E-5</v>
          </cell>
          <cell r="AL39">
            <v>1.88246357734547E-5</v>
          </cell>
          <cell r="AM39">
            <v>7.8927878295166222E-5</v>
          </cell>
          <cell r="AN39">
            <v>4.1632875683042211E-7</v>
          </cell>
          <cell r="AO39">
            <v>4.5602174161534872E-5</v>
          </cell>
          <cell r="AP39">
            <v>3.3565737668409378E-6</v>
          </cell>
          <cell r="AQ39">
            <v>4.5649079481594926E-6</v>
          </cell>
          <cell r="AR39">
            <v>2.8160351097065539E-5</v>
          </cell>
          <cell r="AS39">
            <v>1.048557259634098E-5</v>
          </cell>
          <cell r="AT39">
            <v>2.4646887340132579E-5</v>
          </cell>
          <cell r="AU39">
            <v>6.2013293572998137E-5</v>
          </cell>
          <cell r="AV39">
            <v>7.1536332901967739E-5</v>
          </cell>
          <cell r="AW39">
            <v>5.9684038138740152E-5</v>
          </cell>
          <cell r="AX39">
            <v>8.0677325603004587E-5</v>
          </cell>
          <cell r="AY39">
            <v>7.0712831950900786E-5</v>
          </cell>
          <cell r="AZ39">
            <v>5.9945147132161458E-5</v>
          </cell>
          <cell r="BA39">
            <v>6.5879252136634105E-5</v>
          </cell>
          <cell r="BB39">
            <v>6.365637267357199E-5</v>
          </cell>
          <cell r="BC39">
            <v>6.9779818830014004E-5</v>
          </cell>
          <cell r="BD39">
            <v>4.084987322070263E-5</v>
          </cell>
          <cell r="BE39">
            <v>6.5879252136634105E-5</v>
          </cell>
          <cell r="BF39">
            <v>-2.7295327852437651E-4</v>
          </cell>
          <cell r="BG39">
            <v>-1.009758161166145E-7</v>
          </cell>
          <cell r="BH39">
            <v>5.1117512539372548E-5</v>
          </cell>
          <cell r="BI39">
            <v>6.2350108499763994E-5</v>
          </cell>
          <cell r="BJ39">
            <v>8.7822676967944254E-5</v>
          </cell>
          <cell r="BK39">
            <v>1.1071811292846451E-4</v>
          </cell>
          <cell r="BL39">
            <v>5.6218888970190449E-6</v>
          </cell>
          <cell r="BM39">
            <v>6.8181566140616568E-5</v>
          </cell>
          <cell r="BN39">
            <v>5.5146940881989179E-5</v>
          </cell>
          <cell r="BO39">
            <v>5.5483777825435507E-5</v>
          </cell>
          <cell r="BP39">
            <v>4.566509445269985E-5</v>
          </cell>
          <cell r="BQ39">
            <v>4.566509445269985E-5</v>
          </cell>
          <cell r="BR39">
            <v>4.8375561001880289E-5</v>
          </cell>
          <cell r="BS39">
            <v>3.39265081122363E-5</v>
          </cell>
          <cell r="BT39">
            <v>2.3214793645030549E-5</v>
          </cell>
          <cell r="BU39">
            <v>2.2479681858284529E-5</v>
          </cell>
          <cell r="BV39">
            <v>5.9231418966543217E-5</v>
          </cell>
          <cell r="BW39">
            <v>5.5485464223639159E-5</v>
          </cell>
          <cell r="BX39">
            <v>7.8015456492320579E-5</v>
          </cell>
          <cell r="BY39">
            <v>-1.8114763869266739E-5</v>
          </cell>
          <cell r="BZ39">
            <v>1.2433971334862381E-5</v>
          </cell>
          <cell r="CA39">
            <v>-1.1681366651341291E-5</v>
          </cell>
          <cell r="CB39">
            <v>2.4337357205820909E-5</v>
          </cell>
          <cell r="CC39">
            <v>3.1603194496649149E-5</v>
          </cell>
          <cell r="CD39">
            <v>7.9717648087511428E-5</v>
          </cell>
          <cell r="CE39">
            <v>2.3817920387129919E-5</v>
          </cell>
        </row>
        <row r="40">
          <cell r="A40" t="str">
            <v>L 1 Comdty</v>
          </cell>
          <cell r="B40">
            <v>4.2727978887333663E-9</v>
          </cell>
          <cell r="C40">
            <v>4.2639664715566022E-7</v>
          </cell>
          <cell r="D40">
            <v>3.6295511326013501E-7</v>
          </cell>
          <cell r="E40">
            <v>3.726138162333063E-8</v>
          </cell>
          <cell r="F40">
            <v>1.8843210259613621E-7</v>
          </cell>
          <cell r="G40">
            <v>4.2140238809557399E-8</v>
          </cell>
          <cell r="H40">
            <v>-3.0635659459520468E-7</v>
          </cell>
          <cell r="I40">
            <v>1.4187870583386901E-7</v>
          </cell>
          <cell r="J40">
            <v>7.1443764554119404E-8</v>
          </cell>
          <cell r="K40">
            <v>1.7745348363439369E-7</v>
          </cell>
          <cell r="L40">
            <v>1.89285068812392E-7</v>
          </cell>
          <cell r="M40">
            <v>3.360420503131392E-7</v>
          </cell>
          <cell r="N40">
            <v>2.6451086421288451E-7</v>
          </cell>
          <cell r="O40">
            <v>2.0794787735370281E-7</v>
          </cell>
          <cell r="P40">
            <v>4.2373318231082229E-7</v>
          </cell>
          <cell r="Q40">
            <v>8.2570443232900609E-9</v>
          </cell>
          <cell r="R40">
            <v>5.2700851262322202E-7</v>
          </cell>
          <cell r="S40">
            <v>6.6690121991973167E-7</v>
          </cell>
          <cell r="T40">
            <v>5.2507875013514544E-7</v>
          </cell>
          <cell r="U40">
            <v>2.3999652831983761E-7</v>
          </cell>
          <cell r="V40">
            <v>3.0728479569048698E-7</v>
          </cell>
          <cell r="W40">
            <v>2.2094352708176449E-7</v>
          </cell>
          <cell r="X40">
            <v>1.371959053203225E-6</v>
          </cell>
          <cell r="Y40">
            <v>1.494485784189554E-8</v>
          </cell>
          <cell r="Z40">
            <v>4.8650122708256229E-8</v>
          </cell>
          <cell r="AA40">
            <v>2.1822908377483681E-7</v>
          </cell>
          <cell r="AB40">
            <v>3.9726539009850402E-7</v>
          </cell>
          <cell r="AC40">
            <v>1.165726225898917E-6</v>
          </cell>
          <cell r="AD40">
            <v>3.559681651978722E-8</v>
          </cell>
          <cell r="AE40">
            <v>5.8205712620720699E-8</v>
          </cell>
          <cell r="AF40">
            <v>1.097667343350573E-7</v>
          </cell>
          <cell r="AG40">
            <v>2.46754428206339E-7</v>
          </cell>
          <cell r="AH40">
            <v>4.1898179391062818E-7</v>
          </cell>
          <cell r="AI40">
            <v>9.2114746041096224E-7</v>
          </cell>
          <cell r="AJ40">
            <v>1.0540758803260229E-6</v>
          </cell>
          <cell r="AK40">
            <v>4.7373357739543881E-7</v>
          </cell>
          <cell r="AL40">
            <v>7.2159829526744413E-8</v>
          </cell>
          <cell r="AM40">
            <v>4.1632875683042211E-7</v>
          </cell>
          <cell r="AN40">
            <v>1.0994988734084891E-7</v>
          </cell>
          <cell r="AO40">
            <v>6.1463002145046002E-7</v>
          </cell>
          <cell r="AP40">
            <v>4.9580628920739233E-8</v>
          </cell>
          <cell r="AQ40">
            <v>5.5964132097822597E-8</v>
          </cell>
          <cell r="AR40">
            <v>6.1995633682331962E-7</v>
          </cell>
          <cell r="AS40">
            <v>1.031244531129761E-7</v>
          </cell>
          <cell r="AT40">
            <v>3.195988252100116E-7</v>
          </cell>
          <cell r="AU40">
            <v>-2.9584905270336032E-7</v>
          </cell>
          <cell r="AV40">
            <v>1.3483358772559909E-7</v>
          </cell>
          <cell r="AW40">
            <v>-4.2992687999121939E-7</v>
          </cell>
          <cell r="AX40">
            <v>-2.9061703302109459E-7</v>
          </cell>
          <cell r="AY40">
            <v>-5.8701025707046572E-7</v>
          </cell>
          <cell r="AZ40">
            <v>-1.7602480811738799E-6</v>
          </cell>
          <cell r="BA40">
            <v>-4.6635198527062088E-7</v>
          </cell>
          <cell r="BB40">
            <v>-6.0888794402260985E-7</v>
          </cell>
          <cell r="BC40">
            <v>-6.5176348185467068E-7</v>
          </cell>
          <cell r="BD40">
            <v>-5.006623103887842E-7</v>
          </cell>
          <cell r="BE40">
            <v>-4.6635198527062088E-7</v>
          </cell>
          <cell r="BF40">
            <v>4.8781070643919469E-6</v>
          </cell>
          <cell r="BG40">
            <v>-1.241271755119063E-6</v>
          </cell>
          <cell r="BH40">
            <v>-1.65698050226365E-6</v>
          </cell>
          <cell r="BI40">
            <v>-1.2689708352590119E-6</v>
          </cell>
          <cell r="BJ40">
            <v>-4.8318565269295567E-7</v>
          </cell>
          <cell r="BK40">
            <v>-1.62082851669988E-7</v>
          </cell>
          <cell r="BL40">
            <v>-1.216259635087909E-6</v>
          </cell>
          <cell r="BM40">
            <v>-7.3344641690714144E-7</v>
          </cell>
          <cell r="BN40">
            <v>-9.0067653157870287E-7</v>
          </cell>
          <cell r="BO40">
            <v>-1.068967039312311E-6</v>
          </cell>
          <cell r="BP40">
            <v>-1.909893634718233E-7</v>
          </cell>
          <cell r="BQ40">
            <v>-1.909893634718233E-7</v>
          </cell>
          <cell r="BR40">
            <v>-3.0293118055502958E-7</v>
          </cell>
          <cell r="BS40">
            <v>-3.0611481663875488E-7</v>
          </cell>
          <cell r="BT40">
            <v>-2.1436821247606009E-8</v>
          </cell>
          <cell r="BU40">
            <v>4.1658751594700331E-7</v>
          </cell>
          <cell r="BV40">
            <v>2.249441872125527E-7</v>
          </cell>
          <cell r="BW40">
            <v>-1.152164034376937E-7</v>
          </cell>
          <cell r="BX40">
            <v>-1.2424762374179001E-6</v>
          </cell>
          <cell r="BY40">
            <v>-4.1883435220655042E-7</v>
          </cell>
          <cell r="BZ40">
            <v>-3.7299343051502442E-7</v>
          </cell>
          <cell r="CA40">
            <v>-2.3664151663992861E-8</v>
          </cell>
          <cell r="CB40">
            <v>-2.0557378416778369E-6</v>
          </cell>
          <cell r="CC40">
            <v>4.025060043067599E-7</v>
          </cell>
          <cell r="CD40">
            <v>1.2464352609209269E-7</v>
          </cell>
          <cell r="CE40">
            <v>-4.0429528868811691E-7</v>
          </cell>
        </row>
        <row r="41">
          <cell r="A41" t="str">
            <v>G 1 Comdty</v>
          </cell>
          <cell r="B41">
            <v>-9.8681896676900321E-7</v>
          </cell>
          <cell r="C41">
            <v>-7.3988723193102204E-6</v>
          </cell>
          <cell r="D41">
            <v>-8.6200958407145307E-6</v>
          </cell>
          <cell r="E41">
            <v>-7.8727674229108298E-6</v>
          </cell>
          <cell r="F41">
            <v>1.2032583410796389E-5</v>
          </cell>
          <cell r="G41">
            <v>-5.8192354798144397E-6</v>
          </cell>
          <cell r="H41">
            <v>-8.3421920569195834E-6</v>
          </cell>
          <cell r="I41">
            <v>6.7969597644906274E-6</v>
          </cell>
          <cell r="J41">
            <v>7.0048635914262571E-7</v>
          </cell>
          <cell r="K41">
            <v>4.0150033867332568E-6</v>
          </cell>
          <cell r="L41">
            <v>1.1670599480230741E-5</v>
          </cell>
          <cell r="M41">
            <v>3.5868067475258539E-6</v>
          </cell>
          <cell r="N41">
            <v>-3.2499512254487341E-6</v>
          </cell>
          <cell r="O41">
            <v>-8.5673574578188289E-6</v>
          </cell>
          <cell r="P41">
            <v>1.2188555177271161E-5</v>
          </cell>
          <cell r="Q41">
            <v>9.9173089382517186E-6</v>
          </cell>
          <cell r="R41">
            <v>2.207377464119452E-5</v>
          </cell>
          <cell r="S41">
            <v>1.2819317008788E-5</v>
          </cell>
          <cell r="T41">
            <v>9.0070674344939921E-6</v>
          </cell>
          <cell r="U41">
            <v>1.3508813090887451E-5</v>
          </cell>
          <cell r="V41">
            <v>9.8752247214866222E-6</v>
          </cell>
          <cell r="W41">
            <v>8.0390468657297067E-6</v>
          </cell>
          <cell r="X41">
            <v>1.369250360360531E-5</v>
          </cell>
          <cell r="Y41">
            <v>2.8793960438203468E-6</v>
          </cell>
          <cell r="Z41">
            <v>5.2698758120632751E-6</v>
          </cell>
          <cell r="AA41">
            <v>1.6617091212827351E-5</v>
          </cell>
          <cell r="AB41">
            <v>3.6474190045306122E-5</v>
          </cell>
          <cell r="AC41">
            <v>7.762843842852742E-5</v>
          </cell>
          <cell r="AD41">
            <v>8.6127942376793266E-8</v>
          </cell>
          <cell r="AE41">
            <v>2.7833645050706771E-6</v>
          </cell>
          <cell r="AF41">
            <v>3.7288046321991261E-6</v>
          </cell>
          <cell r="AG41">
            <v>1.237610934319614E-5</v>
          </cell>
          <cell r="AH41">
            <v>2.0560588176944822E-5</v>
          </cell>
          <cell r="AI41">
            <v>3.901123747139612E-5</v>
          </cell>
          <cell r="AJ41">
            <v>5.3052120165601007E-5</v>
          </cell>
          <cell r="AK41">
            <v>3.6071223216315753E-5</v>
          </cell>
          <cell r="AL41">
            <v>1.0359016998337551E-5</v>
          </cell>
          <cell r="AM41">
            <v>4.5602174161534872E-5</v>
          </cell>
          <cell r="AN41">
            <v>6.1463002145046002E-7</v>
          </cell>
          <cell r="AO41">
            <v>6.9254124320716846E-5</v>
          </cell>
          <cell r="AP41">
            <v>3.080759572004469E-6</v>
          </cell>
          <cell r="AQ41">
            <v>4.094277920606553E-6</v>
          </cell>
          <cell r="AR41">
            <v>2.505661028318529E-5</v>
          </cell>
          <cell r="AS41">
            <v>7.6857658208048323E-6</v>
          </cell>
          <cell r="AT41">
            <v>2.5398464575616241E-5</v>
          </cell>
          <cell r="AU41">
            <v>2.9955171839805701E-5</v>
          </cell>
          <cell r="AV41">
            <v>3.7993488935717407E-5</v>
          </cell>
          <cell r="AW41">
            <v>2.745445011620509E-5</v>
          </cell>
          <cell r="AX41">
            <v>2.6044313774909979E-5</v>
          </cell>
          <cell r="AY41">
            <v>3.0358139367736328E-5</v>
          </cell>
          <cell r="AZ41">
            <v>-8.5827448064012583E-6</v>
          </cell>
          <cell r="BA41">
            <v>3.0629492979680198E-5</v>
          </cell>
          <cell r="BB41">
            <v>2.9506839486550768E-5</v>
          </cell>
          <cell r="BC41">
            <v>2.9515042013342628E-5</v>
          </cell>
          <cell r="BD41">
            <v>1.6034528052606642E-5</v>
          </cell>
          <cell r="BE41">
            <v>3.0629492979680198E-5</v>
          </cell>
          <cell r="BF41">
            <v>-4.0939187393612193E-5</v>
          </cell>
          <cell r="BG41">
            <v>-1.515152729836232E-5</v>
          </cell>
          <cell r="BH41">
            <v>-3.7298797349808739E-6</v>
          </cell>
          <cell r="BI41">
            <v>1.3338563922858761E-5</v>
          </cell>
          <cell r="BJ41">
            <v>4.0774810191743752E-5</v>
          </cell>
          <cell r="BK41">
            <v>7.6634737552078763E-5</v>
          </cell>
          <cell r="BL41">
            <v>-5.034289552764145E-5</v>
          </cell>
          <cell r="BM41">
            <v>1.5983265980730251E-5</v>
          </cell>
          <cell r="BN41">
            <v>1.032187747656219E-5</v>
          </cell>
          <cell r="BO41">
            <v>1.7449293286129281E-5</v>
          </cell>
          <cell r="BP41">
            <v>1.9304675417047151E-5</v>
          </cell>
          <cell r="BQ41">
            <v>1.9304675417047151E-5</v>
          </cell>
          <cell r="BR41">
            <v>1.3907016685603039E-5</v>
          </cell>
          <cell r="BS41">
            <v>1.2120384426286469E-5</v>
          </cell>
          <cell r="BT41">
            <v>8.9982172730619731E-6</v>
          </cell>
          <cell r="BU41">
            <v>3.6275436159945741E-6</v>
          </cell>
          <cell r="BV41">
            <v>3.6121127846614861E-5</v>
          </cell>
          <cell r="BW41">
            <v>1.882342125721052E-5</v>
          </cell>
          <cell r="BX41">
            <v>-1.2900348877837561E-5</v>
          </cell>
          <cell r="BY41">
            <v>-2.6140167875412099E-5</v>
          </cell>
          <cell r="BZ41">
            <v>6.9777909681436091E-6</v>
          </cell>
          <cell r="CA41">
            <v>-2.137294708327196E-5</v>
          </cell>
          <cell r="CB41">
            <v>1.0059721300562999E-5</v>
          </cell>
          <cell r="CC41">
            <v>2.3875119037065159E-5</v>
          </cell>
          <cell r="CD41">
            <v>3.1894385392354229E-5</v>
          </cell>
          <cell r="CE41">
            <v>3.4719925900520679E-6</v>
          </cell>
        </row>
        <row r="42">
          <cell r="A42" t="str">
            <v>YM1 Comdty</v>
          </cell>
          <cell r="B42">
            <v>-2.1184601782617729E-7</v>
          </cell>
          <cell r="C42">
            <v>-3.0105330235201368E-7</v>
          </cell>
          <cell r="D42">
            <v>3.7918308444084502E-7</v>
          </cell>
          <cell r="E42">
            <v>1.5884222235143029E-7</v>
          </cell>
          <cell r="F42">
            <v>6.8554950336847251E-7</v>
          </cell>
          <cell r="G42">
            <v>-2.2943123138864191E-7</v>
          </cell>
          <cell r="H42">
            <v>-1.5799722499601469E-6</v>
          </cell>
          <cell r="I42">
            <v>2.57130353384454E-7</v>
          </cell>
          <cell r="J42">
            <v>4.5610722225074468E-7</v>
          </cell>
          <cell r="K42">
            <v>4.8668909313553455E-7</v>
          </cell>
          <cell r="L42">
            <v>6.1700744786578011E-7</v>
          </cell>
          <cell r="M42">
            <v>8.388479223434851E-7</v>
          </cell>
          <cell r="N42">
            <v>1.087508857439364E-6</v>
          </cell>
          <cell r="O42">
            <v>3.9371338282213403E-7</v>
          </cell>
          <cell r="P42">
            <v>1.9367144122875192E-6</v>
          </cell>
          <cell r="Q42">
            <v>1.0092275250821389E-6</v>
          </cell>
          <cell r="R42">
            <v>1.9051291641403109E-6</v>
          </cell>
          <cell r="S42">
            <v>1.8459882809441709E-6</v>
          </cell>
          <cell r="T42">
            <v>1.7409819589429909E-6</v>
          </cell>
          <cell r="U42">
            <v>1.1879184534210819E-6</v>
          </cell>
          <cell r="V42">
            <v>7.7663148041475589E-7</v>
          </cell>
          <cell r="W42">
            <v>5.1781710466927593E-7</v>
          </cell>
          <cell r="X42">
            <v>-4.0949922332797602E-7</v>
          </cell>
          <cell r="Y42">
            <v>2.212026360914798E-7</v>
          </cell>
          <cell r="Z42">
            <v>5.7387152095746333E-7</v>
          </cell>
          <cell r="AA42">
            <v>1.6114638442838421E-6</v>
          </cell>
          <cell r="AB42">
            <v>2.9867542166238739E-6</v>
          </cell>
          <cell r="AC42">
            <v>5.5871785603816161E-6</v>
          </cell>
          <cell r="AD42">
            <v>2.8406620049954061E-8</v>
          </cell>
          <cell r="AE42">
            <v>3.8702710603554068E-7</v>
          </cell>
          <cell r="AF42">
            <v>5.7409007427974346E-7</v>
          </cell>
          <cell r="AG42">
            <v>1.52259923271009E-6</v>
          </cell>
          <cell r="AH42">
            <v>2.2506248285282919E-6</v>
          </cell>
          <cell r="AI42">
            <v>3.5644525538988011E-6</v>
          </cell>
          <cell r="AJ42">
            <v>4.7746122018396668E-6</v>
          </cell>
          <cell r="AK42">
            <v>3.202750493384173E-6</v>
          </cell>
          <cell r="AL42">
            <v>8.5733596734106984E-7</v>
          </cell>
          <cell r="AM42">
            <v>3.3565737668409378E-6</v>
          </cell>
          <cell r="AN42">
            <v>4.9580628920739233E-8</v>
          </cell>
          <cell r="AO42">
            <v>3.080759572004469E-6</v>
          </cell>
          <cell r="AP42">
            <v>5.4491744139566626E-7</v>
          </cell>
          <cell r="AQ42">
            <v>5.1182542192777267E-7</v>
          </cell>
          <cell r="AR42">
            <v>2.7530767965422409E-6</v>
          </cell>
          <cell r="AS42">
            <v>7.6070952334552158E-7</v>
          </cell>
          <cell r="AT42">
            <v>2.4433756009334271E-6</v>
          </cell>
          <cell r="AU42">
            <v>9.3664153537282087E-7</v>
          </cell>
          <cell r="AV42">
            <v>1.5825417359846921E-6</v>
          </cell>
          <cell r="AW42">
            <v>5.8860593288045548E-7</v>
          </cell>
          <cell r="AX42">
            <v>6.1663769132592746E-7</v>
          </cell>
          <cell r="AY42">
            <v>6.5538023188255229E-7</v>
          </cell>
          <cell r="AZ42">
            <v>-2.4059899505077142E-6</v>
          </cell>
          <cell r="BA42">
            <v>8.7757154182690394E-8</v>
          </cell>
          <cell r="BB42">
            <v>5.375761055612294E-7</v>
          </cell>
          <cell r="BC42">
            <v>4.8467156533486418E-7</v>
          </cell>
          <cell r="BD42">
            <v>-6.007933121115226E-7</v>
          </cell>
          <cell r="BE42">
            <v>8.7757154182690394E-8</v>
          </cell>
          <cell r="BF42">
            <v>5.7515261914493592E-6</v>
          </cell>
          <cell r="BG42">
            <v>-2.4812524648101661E-6</v>
          </cell>
          <cell r="BH42">
            <v>-2.3339858606151242E-6</v>
          </cell>
          <cell r="BI42">
            <v>-1.5799095289065611E-6</v>
          </cell>
          <cell r="BJ42">
            <v>1.4200870329760911E-6</v>
          </cell>
          <cell r="BK42">
            <v>2.6245919062639078E-6</v>
          </cell>
          <cell r="BL42">
            <v>-3.62069449687476E-6</v>
          </cell>
          <cell r="BM42">
            <v>-1.0993603184713559E-6</v>
          </cell>
          <cell r="BN42">
            <v>-8.7698044815182033E-7</v>
          </cell>
          <cell r="BO42">
            <v>-4.522155795482631E-7</v>
          </cell>
          <cell r="BP42">
            <v>-3.4262527555193641E-7</v>
          </cell>
          <cell r="BQ42">
            <v>-3.4262527555193641E-7</v>
          </cell>
          <cell r="BR42">
            <v>-2.1634112022160471E-7</v>
          </cell>
          <cell r="BS42">
            <v>-5.0005150086227999E-7</v>
          </cell>
          <cell r="BT42">
            <v>-9.7328710671577724E-7</v>
          </cell>
          <cell r="BU42">
            <v>3.713291496467858E-7</v>
          </cell>
          <cell r="BV42">
            <v>9.8546526417440231E-7</v>
          </cell>
          <cell r="BW42">
            <v>2.1716702816812881E-7</v>
          </cell>
          <cell r="BX42">
            <v>-5.069797784157608E-6</v>
          </cell>
          <cell r="BY42">
            <v>-2.4028879684073351E-6</v>
          </cell>
          <cell r="BZ42">
            <v>3.3662307966419861E-7</v>
          </cell>
          <cell r="CA42">
            <v>-2.3799619178086961E-6</v>
          </cell>
          <cell r="CB42">
            <v>-2.7009482045256938E-6</v>
          </cell>
          <cell r="CC42">
            <v>1.303063865940722E-6</v>
          </cell>
          <cell r="CD42">
            <v>9.4551898127243938E-7</v>
          </cell>
          <cell r="CE42">
            <v>-5.7782243941598993E-7</v>
          </cell>
        </row>
        <row r="43">
          <cell r="A43" t="str">
            <v>XM1 Comdty</v>
          </cell>
          <cell r="B43">
            <v>-6.6306201783580862E-7</v>
          </cell>
          <cell r="C43">
            <v>-6.2177670985511981E-7</v>
          </cell>
          <cell r="D43">
            <v>-1.998449002041728E-7</v>
          </cell>
          <cell r="E43">
            <v>-2.2154823371275651E-7</v>
          </cell>
          <cell r="F43">
            <v>7.8274594450636863E-7</v>
          </cell>
          <cell r="G43">
            <v>-7.5326682568144244E-7</v>
          </cell>
          <cell r="H43">
            <v>-1.837958681634921E-6</v>
          </cell>
          <cell r="I43">
            <v>3.3951740319533502E-7</v>
          </cell>
          <cell r="J43">
            <v>4.8817123260662422E-7</v>
          </cell>
          <cell r="K43">
            <v>4.7685093872558891E-7</v>
          </cell>
          <cell r="L43">
            <v>7.3042366954036098E-7</v>
          </cell>
          <cell r="M43">
            <v>8.3264141106042379E-7</v>
          </cell>
          <cell r="N43">
            <v>6.3930430758125478E-7</v>
          </cell>
          <cell r="O43">
            <v>1.9504098404993351E-8</v>
          </cell>
          <cell r="P43">
            <v>1.6339359184055119E-6</v>
          </cell>
          <cell r="Q43">
            <v>1.491050013769071E-6</v>
          </cell>
          <cell r="R43">
            <v>2.0058361736718739E-6</v>
          </cell>
          <cell r="S43">
            <v>1.1688255326663659E-6</v>
          </cell>
          <cell r="T43">
            <v>1.998140583890099E-6</v>
          </cell>
          <cell r="U43">
            <v>9.8506040781754683E-7</v>
          </cell>
          <cell r="V43">
            <v>9.7836654522655368E-7</v>
          </cell>
          <cell r="W43">
            <v>4.6424937317397188E-7</v>
          </cell>
          <cell r="X43">
            <v>8.9096868644390748E-9</v>
          </cell>
          <cell r="Y43">
            <v>2.3889202138114822E-7</v>
          </cell>
          <cell r="Z43">
            <v>6.2025279580482242E-7</v>
          </cell>
          <cell r="AA43">
            <v>1.8724191841700391E-6</v>
          </cell>
          <cell r="AB43">
            <v>3.9527211280341886E-6</v>
          </cell>
          <cell r="AC43">
            <v>8.0532907444748237E-6</v>
          </cell>
          <cell r="AD43">
            <v>2.4591902518279431E-8</v>
          </cell>
          <cell r="AE43">
            <v>3.4092802765160552E-7</v>
          </cell>
          <cell r="AF43">
            <v>5.4604709851388822E-7</v>
          </cell>
          <cell r="AG43">
            <v>1.6573069790392949E-6</v>
          </cell>
          <cell r="AH43">
            <v>2.7297213517397231E-6</v>
          </cell>
          <cell r="AI43">
            <v>5.0964805824048016E-6</v>
          </cell>
          <cell r="AJ43">
            <v>7.2016947766376148E-6</v>
          </cell>
          <cell r="AK43">
            <v>4.1168518408661557E-6</v>
          </cell>
          <cell r="AL43">
            <v>1.064585959703435E-6</v>
          </cell>
          <cell r="AM43">
            <v>4.5649079481594926E-6</v>
          </cell>
          <cell r="AN43">
            <v>5.5964132097822597E-8</v>
          </cell>
          <cell r="AO43">
            <v>4.094277920606553E-6</v>
          </cell>
          <cell r="AP43">
            <v>5.1182542192777267E-7</v>
          </cell>
          <cell r="AQ43">
            <v>6.4852065635651912E-7</v>
          </cell>
          <cell r="AR43">
            <v>3.733237403082387E-6</v>
          </cell>
          <cell r="AS43">
            <v>1.079028229743167E-6</v>
          </cell>
          <cell r="AT43">
            <v>3.0465650161222382E-6</v>
          </cell>
          <cell r="AU43">
            <v>2.1313114054050351E-6</v>
          </cell>
          <cell r="AV43">
            <v>3.3550426326570199E-6</v>
          </cell>
          <cell r="AW43">
            <v>1.428331548154225E-6</v>
          </cell>
          <cell r="AX43">
            <v>1.4600454320480499E-6</v>
          </cell>
          <cell r="AY43">
            <v>1.4604692197949291E-6</v>
          </cell>
          <cell r="AZ43">
            <v>-3.0922667849153062E-6</v>
          </cell>
          <cell r="BA43">
            <v>8.9156283976644597E-7</v>
          </cell>
          <cell r="BB43">
            <v>1.5980311727502429E-6</v>
          </cell>
          <cell r="BC43">
            <v>1.3617574208178901E-6</v>
          </cell>
          <cell r="BD43">
            <v>-1.4772707589682931E-8</v>
          </cell>
          <cell r="BE43">
            <v>8.9156283976644597E-7</v>
          </cell>
          <cell r="BF43">
            <v>5.1562398774690896E-7</v>
          </cell>
          <cell r="BG43">
            <v>-2.2105256693409529E-6</v>
          </cell>
          <cell r="BH43">
            <v>-2.9991025562233458E-6</v>
          </cell>
          <cell r="BI43">
            <v>-1.64659170804869E-6</v>
          </cell>
          <cell r="BJ43">
            <v>2.7448564091257661E-6</v>
          </cell>
          <cell r="BK43">
            <v>5.1016372077465617E-6</v>
          </cell>
          <cell r="BL43">
            <v>-4.6194251551436992E-6</v>
          </cell>
          <cell r="BM43">
            <v>-9.664319371778821E-7</v>
          </cell>
          <cell r="BN43">
            <v>-1.321576384845956E-6</v>
          </cell>
          <cell r="BO43">
            <v>-3.0010163622823859E-7</v>
          </cell>
          <cell r="BP43">
            <v>6.5543654209631559E-8</v>
          </cell>
          <cell r="BQ43">
            <v>6.5543654209631559E-8</v>
          </cell>
          <cell r="BR43">
            <v>3.7767407184074577E-8</v>
          </cell>
          <cell r="BS43">
            <v>-3.4992583561513062E-7</v>
          </cell>
          <cell r="BT43">
            <v>-7.7824763635064085E-7</v>
          </cell>
          <cell r="BU43">
            <v>7.4614828874226046E-7</v>
          </cell>
          <cell r="BV43">
            <v>1.652885564008064E-6</v>
          </cell>
          <cell r="BW43">
            <v>7.901106974139501E-7</v>
          </cell>
          <cell r="BX43">
            <v>-5.3723229795768936E-6</v>
          </cell>
          <cell r="BY43">
            <v>-3.3547260042189929E-6</v>
          </cell>
          <cell r="BZ43">
            <v>-4.689006633697033E-7</v>
          </cell>
          <cell r="CA43">
            <v>-3.4012026951140071E-6</v>
          </cell>
          <cell r="CB43">
            <v>-7.4108141361272914E-7</v>
          </cell>
          <cell r="CC43">
            <v>2.2243342819756462E-6</v>
          </cell>
          <cell r="CD43">
            <v>2.561551057580323E-6</v>
          </cell>
          <cell r="CE43">
            <v>-1.0529355439563881E-6</v>
          </cell>
        </row>
        <row r="44">
          <cell r="A44" t="str">
            <v>CN1 Comdty</v>
          </cell>
          <cell r="B44">
            <v>-6.8973426030829191E-6</v>
          </cell>
          <cell r="C44">
            <v>1.2738400820917759E-6</v>
          </cell>
          <cell r="D44">
            <v>5.0190633413030598E-6</v>
          </cell>
          <cell r="E44">
            <v>-2.4543018261669612E-7</v>
          </cell>
          <cell r="F44">
            <v>8.2597565172158086E-6</v>
          </cell>
          <cell r="G44">
            <v>2.1975813281737941E-7</v>
          </cell>
          <cell r="H44">
            <v>-1.6250870224342099E-5</v>
          </cell>
          <cell r="I44">
            <v>5.4478105247749541E-6</v>
          </cell>
          <cell r="J44">
            <v>4.474095692860755E-6</v>
          </cell>
          <cell r="K44">
            <v>5.8999502949741647E-6</v>
          </cell>
          <cell r="L44">
            <v>7.6915668691709678E-6</v>
          </cell>
          <cell r="M44">
            <v>1.217709966954555E-5</v>
          </cell>
          <cell r="N44">
            <v>4.8071717418782556E-6</v>
          </cell>
          <cell r="O44">
            <v>8.6554761044048533E-7</v>
          </cell>
          <cell r="P44">
            <v>2.0775817106403589E-5</v>
          </cell>
          <cell r="Q44">
            <v>1.5175115447581539E-5</v>
          </cell>
          <cell r="R44">
            <v>2.133013788518537E-5</v>
          </cell>
          <cell r="S44">
            <v>1.9462361664009739E-5</v>
          </cell>
          <cell r="T44">
            <v>2.030907726506847E-5</v>
          </cell>
          <cell r="U44">
            <v>8.1445209603965244E-6</v>
          </cell>
          <cell r="V44">
            <v>8.9248820027262931E-6</v>
          </cell>
          <cell r="W44">
            <v>2.9715403232997909E-6</v>
          </cell>
          <cell r="X44">
            <v>3.0298574407740812E-6</v>
          </cell>
          <cell r="Y44">
            <v>1.182839205254505E-6</v>
          </cell>
          <cell r="Z44">
            <v>3.9724878079185734E-6</v>
          </cell>
          <cell r="AA44">
            <v>1.217173937519407E-5</v>
          </cell>
          <cell r="AB44">
            <v>2.780536538282656E-5</v>
          </cell>
          <cell r="AC44">
            <v>6.2510845759782463E-5</v>
          </cell>
          <cell r="AD44">
            <v>7.0544837835623887E-7</v>
          </cell>
          <cell r="AE44">
            <v>2.452530001113118E-6</v>
          </cell>
          <cell r="AF44">
            <v>4.8429254053987979E-6</v>
          </cell>
          <cell r="AG44">
            <v>1.365870725570577E-5</v>
          </cell>
          <cell r="AH44">
            <v>2.213500447321141E-5</v>
          </cell>
          <cell r="AI44">
            <v>4.2900260228631557E-5</v>
          </cell>
          <cell r="AJ44">
            <v>5.8440444115570257E-5</v>
          </cell>
          <cell r="AK44">
            <v>2.6897036832522909E-5</v>
          </cell>
          <cell r="AL44">
            <v>5.2984490955093157E-6</v>
          </cell>
          <cell r="AM44">
            <v>2.8160351097065539E-5</v>
          </cell>
          <cell r="AN44">
            <v>6.1995633682331962E-7</v>
          </cell>
          <cell r="AO44">
            <v>2.505661028318529E-5</v>
          </cell>
          <cell r="AP44">
            <v>2.7530767965422409E-6</v>
          </cell>
          <cell r="AQ44">
            <v>3.733237403082387E-6</v>
          </cell>
          <cell r="AR44">
            <v>3.7637364134203793E-5</v>
          </cell>
          <cell r="AS44">
            <v>6.6672118779612292E-6</v>
          </cell>
          <cell r="AT44">
            <v>1.9768346571836911E-5</v>
          </cell>
          <cell r="AU44">
            <v>5.4374868793727974E-6</v>
          </cell>
          <cell r="AV44">
            <v>2.075256070263432E-5</v>
          </cell>
          <cell r="AW44">
            <v>-3.1015011832480151E-6</v>
          </cell>
          <cell r="AX44">
            <v>-6.3419663591859636E-6</v>
          </cell>
          <cell r="AY44">
            <v>-6.5464978543573344E-6</v>
          </cell>
          <cell r="AZ44">
            <v>-4.5177734079010277E-5</v>
          </cell>
          <cell r="BA44">
            <v>-1.014005223957799E-5</v>
          </cell>
          <cell r="BB44">
            <v>-5.0817946491693784E-6</v>
          </cell>
          <cell r="BC44">
            <v>-9.294358249522056E-6</v>
          </cell>
          <cell r="BD44">
            <v>-1.397709313436125E-5</v>
          </cell>
          <cell r="BE44">
            <v>-1.014005223957799E-5</v>
          </cell>
          <cell r="BF44">
            <v>8.8941695911455538E-5</v>
          </cell>
          <cell r="BG44">
            <v>-1.649115627231399E-5</v>
          </cell>
          <cell r="BH44">
            <v>-4.2619296550085249E-5</v>
          </cell>
          <cell r="BI44">
            <v>-3.7747179140877387E-5</v>
          </cell>
          <cell r="BJ44">
            <v>-2.9952254961110971E-7</v>
          </cell>
          <cell r="BK44">
            <v>1.7639582061917689E-5</v>
          </cell>
          <cell r="BL44">
            <v>-9.7840818226621357E-5</v>
          </cell>
          <cell r="BM44">
            <v>-2.5278191876519929E-5</v>
          </cell>
          <cell r="BN44">
            <v>-3.162606651560252E-5</v>
          </cell>
          <cell r="BO44">
            <v>-2.2588341980850049E-5</v>
          </cell>
          <cell r="BP44">
            <v>-1.561361829177037E-5</v>
          </cell>
          <cell r="BQ44">
            <v>-1.561361829177037E-5</v>
          </cell>
          <cell r="BR44">
            <v>-1.472121440018875E-5</v>
          </cell>
          <cell r="BS44">
            <v>-1.7737023771789929E-5</v>
          </cell>
          <cell r="BT44">
            <v>-1.0984637785086049E-5</v>
          </cell>
          <cell r="BU44">
            <v>7.4179226930948082E-8</v>
          </cell>
          <cell r="BV44">
            <v>3.0895663278522342E-8</v>
          </cell>
          <cell r="BW44">
            <v>-1.447945953762695E-6</v>
          </cell>
          <cell r="BX44">
            <v>-6.4533338972743185E-5</v>
          </cell>
          <cell r="BY44">
            <v>-2.610201180804407E-5</v>
          </cell>
          <cell r="BZ44">
            <v>-1.1954519770447421E-5</v>
          </cell>
          <cell r="CA44">
            <v>-3.6429903129262611E-5</v>
          </cell>
          <cell r="CB44">
            <v>-5.2039604535209406E-6</v>
          </cell>
          <cell r="CC44">
            <v>1.9182840408564751E-5</v>
          </cell>
          <cell r="CD44">
            <v>1.558318932733863E-5</v>
          </cell>
          <cell r="CE44">
            <v>-1.2470929576743481E-5</v>
          </cell>
        </row>
        <row r="45">
          <cell r="A45" t="str">
            <v>JB1 Comdty</v>
          </cell>
          <cell r="B45">
            <v>-1.4430473127799781E-6</v>
          </cell>
          <cell r="C45">
            <v>-1.932799405746656E-6</v>
          </cell>
          <cell r="D45">
            <v>-2.6656227981317469E-6</v>
          </cell>
          <cell r="E45">
            <v>-1.3124924849262559E-6</v>
          </cell>
          <cell r="F45">
            <v>1.0011752230932429E-6</v>
          </cell>
          <cell r="G45">
            <v>-2.4607480985422199E-6</v>
          </cell>
          <cell r="H45">
            <v>-2.3855414011341518E-6</v>
          </cell>
          <cell r="I45">
            <v>1.047339328767137E-6</v>
          </cell>
          <cell r="J45">
            <v>3.8641687685399348E-7</v>
          </cell>
          <cell r="K45">
            <v>4.6002769730463077E-7</v>
          </cell>
          <cell r="L45">
            <v>1.0493400227511619E-6</v>
          </cell>
          <cell r="M45">
            <v>-1.443692527645686E-7</v>
          </cell>
          <cell r="N45">
            <v>-1.1038815668972939E-6</v>
          </cell>
          <cell r="O45">
            <v>-1.3382336293572731E-6</v>
          </cell>
          <cell r="P45">
            <v>1.509288928824073E-6</v>
          </cell>
          <cell r="Q45">
            <v>1.768514315442957E-6</v>
          </cell>
          <cell r="R45">
            <v>3.2607108817635849E-6</v>
          </cell>
          <cell r="S45">
            <v>-3.8960972215273773E-7</v>
          </cell>
          <cell r="T45">
            <v>1.9329904610639751E-6</v>
          </cell>
          <cell r="U45">
            <v>-2.958720648352227E-7</v>
          </cell>
          <cell r="V45">
            <v>1.0845653645064489E-6</v>
          </cell>
          <cell r="W45">
            <v>5.7032241810154249E-7</v>
          </cell>
          <cell r="X45">
            <v>5.0289366575585015E-7</v>
          </cell>
          <cell r="Y45">
            <v>7.80338803803597E-7</v>
          </cell>
          <cell r="Z45">
            <v>1.637688816399871E-6</v>
          </cell>
          <cell r="AA45">
            <v>4.5564235417401906E-6</v>
          </cell>
          <cell r="AB45">
            <v>8.3505536142333015E-6</v>
          </cell>
          <cell r="AC45">
            <v>1.6222090532080061E-5</v>
          </cell>
          <cell r="AD45">
            <v>-4.5962720578419122E-8</v>
          </cell>
          <cell r="AE45">
            <v>8.0549143074500486E-7</v>
          </cell>
          <cell r="AF45">
            <v>9.547292127451527E-7</v>
          </cell>
          <cell r="AG45">
            <v>2.892002322082209E-6</v>
          </cell>
          <cell r="AH45">
            <v>4.8707065144587458E-6</v>
          </cell>
          <cell r="AI45">
            <v>9.2519073396030095E-6</v>
          </cell>
          <cell r="AJ45">
            <v>1.193315816507633E-5</v>
          </cell>
          <cell r="AK45">
            <v>8.8647572478844386E-6</v>
          </cell>
          <cell r="AL45">
            <v>2.6165487016066041E-6</v>
          </cell>
          <cell r="AM45">
            <v>1.048557259634098E-5</v>
          </cell>
          <cell r="AN45">
            <v>1.031244531129761E-7</v>
          </cell>
          <cell r="AO45">
            <v>7.6857658208048323E-6</v>
          </cell>
          <cell r="AP45">
            <v>7.6070952334552158E-7</v>
          </cell>
          <cell r="AQ45">
            <v>1.079028229743167E-6</v>
          </cell>
          <cell r="AR45">
            <v>6.6672118779612292E-6</v>
          </cell>
          <cell r="AS45">
            <v>3.527008325884974E-6</v>
          </cell>
          <cell r="AT45">
            <v>5.3062536478899212E-6</v>
          </cell>
          <cell r="AU45">
            <v>5.9821968083154998E-6</v>
          </cell>
          <cell r="AV45">
            <v>6.8100323353175214E-6</v>
          </cell>
          <cell r="AW45">
            <v>5.1990745011530839E-6</v>
          </cell>
          <cell r="AX45">
            <v>6.5775139716531641E-6</v>
          </cell>
          <cell r="AY45">
            <v>4.295065899357762E-6</v>
          </cell>
          <cell r="AZ45">
            <v>-3.9934941579658156E-6</v>
          </cell>
          <cell r="BA45">
            <v>2.8799473693448279E-6</v>
          </cell>
          <cell r="BB45">
            <v>4.6447778011299114E-6</v>
          </cell>
          <cell r="BC45">
            <v>4.2446888440745118E-6</v>
          </cell>
          <cell r="BD45">
            <v>1.9561290010430342E-6</v>
          </cell>
          <cell r="BE45">
            <v>2.8799473693448279E-6</v>
          </cell>
          <cell r="BF45">
            <v>-1.063406793458624E-5</v>
          </cell>
          <cell r="BG45">
            <v>1.8021041295886241E-6</v>
          </cell>
          <cell r="BH45">
            <v>-3.6430814457358029E-6</v>
          </cell>
          <cell r="BI45">
            <v>8.5665822632963586E-7</v>
          </cell>
          <cell r="BJ45">
            <v>6.9092276761786772E-6</v>
          </cell>
          <cell r="BK45">
            <v>1.163421119150719E-5</v>
          </cell>
          <cell r="BL45">
            <v>1.51221072448837E-6</v>
          </cell>
          <cell r="BM45">
            <v>1.0860894159671811E-6</v>
          </cell>
          <cell r="BN45">
            <v>-7.8644859179737435E-7</v>
          </cell>
          <cell r="BO45">
            <v>2.261965796206187E-6</v>
          </cell>
          <cell r="BP45">
            <v>2.3826154721092999E-6</v>
          </cell>
          <cell r="BQ45">
            <v>2.3826154721092999E-6</v>
          </cell>
          <cell r="BR45">
            <v>2.148136064245713E-6</v>
          </cell>
          <cell r="BS45">
            <v>5.7955152603314657E-7</v>
          </cell>
          <cell r="BT45">
            <v>-2.8516517832931579E-6</v>
          </cell>
          <cell r="BU45">
            <v>3.2364608083769699E-7</v>
          </cell>
          <cell r="BV45">
            <v>6.4193600190390328E-6</v>
          </cell>
          <cell r="BW45">
            <v>1.1940522608286161E-6</v>
          </cell>
          <cell r="BX45">
            <v>-2.7146971139262081E-6</v>
          </cell>
          <cell r="BY45">
            <v>-4.9590706260726437E-6</v>
          </cell>
          <cell r="BZ45">
            <v>-5.5679272918736983E-7</v>
          </cell>
          <cell r="CA45">
            <v>-4.3433413903047438E-6</v>
          </cell>
          <cell r="CB45">
            <v>8.9214019123533821E-6</v>
          </cell>
          <cell r="CC45">
            <v>4.5991277791087927E-6</v>
          </cell>
          <cell r="CD45">
            <v>5.1186160504368826E-6</v>
          </cell>
          <cell r="CE45">
            <v>-2.3591849641621421E-7</v>
          </cell>
        </row>
        <row r="46">
          <cell r="A46" t="str">
            <v>KAA1 Comdty</v>
          </cell>
          <cell r="B46">
            <v>-3.964310522359464E-6</v>
          </cell>
          <cell r="C46">
            <v>-2.0959497226937241E-6</v>
          </cell>
          <cell r="D46">
            <v>-2.117018631556954E-6</v>
          </cell>
          <cell r="E46">
            <v>-2.360715140471558E-6</v>
          </cell>
          <cell r="F46">
            <v>5.9816773231107291E-6</v>
          </cell>
          <cell r="G46">
            <v>-2.7322059932307372E-6</v>
          </cell>
          <cell r="H46">
            <v>-1.255981495533203E-5</v>
          </cell>
          <cell r="I46">
            <v>2.8198760687164729E-6</v>
          </cell>
          <cell r="J46">
            <v>7.0511717001110392E-7</v>
          </cell>
          <cell r="K46">
            <v>2.6587169044248221E-6</v>
          </cell>
          <cell r="L46">
            <v>5.5821781957293533E-6</v>
          </cell>
          <cell r="M46">
            <v>5.1879753426015211E-6</v>
          </cell>
          <cell r="N46">
            <v>1.1389216869944941E-6</v>
          </cell>
          <cell r="O46">
            <v>-3.0909137606810321E-6</v>
          </cell>
          <cell r="P46">
            <v>1.1680439848005771E-5</v>
          </cell>
          <cell r="Q46">
            <v>4.2170440913828017E-6</v>
          </cell>
          <cell r="R46">
            <v>1.106910087701934E-5</v>
          </cell>
          <cell r="S46">
            <v>6.4029736530669126E-6</v>
          </cell>
          <cell r="T46">
            <v>8.6587715606630948E-6</v>
          </cell>
          <cell r="U46">
            <v>3.3788854585432242E-6</v>
          </cell>
          <cell r="V46">
            <v>6.7604238638511228E-6</v>
          </cell>
          <cell r="W46">
            <v>2.9115520186160721E-6</v>
          </cell>
          <cell r="X46">
            <v>5.3952319412778744E-6</v>
          </cell>
          <cell r="Y46">
            <v>1.5159585245703631E-6</v>
          </cell>
          <cell r="Z46">
            <v>3.6674189830574489E-6</v>
          </cell>
          <cell r="AA46">
            <v>1.0679970102730681E-5</v>
          </cell>
          <cell r="AB46">
            <v>2.341795219413531E-5</v>
          </cell>
          <cell r="AC46">
            <v>4.6444536914600092E-5</v>
          </cell>
          <cell r="AD46">
            <v>-1.9594829986946781E-7</v>
          </cell>
          <cell r="AE46">
            <v>2.0889483230048549E-6</v>
          </cell>
          <cell r="AF46">
            <v>3.4007303572224429E-6</v>
          </cell>
          <cell r="AG46">
            <v>9.730635687077174E-6</v>
          </cell>
          <cell r="AH46">
            <v>1.552447055143408E-5</v>
          </cell>
          <cell r="AI46">
            <v>2.9568665457304829E-5</v>
          </cell>
          <cell r="AJ46">
            <v>3.8258965257751399E-5</v>
          </cell>
          <cell r="AK46">
            <v>2.154364622474371E-5</v>
          </cell>
          <cell r="AL46">
            <v>5.551240978345108E-6</v>
          </cell>
          <cell r="AM46">
            <v>2.4646887340132579E-5</v>
          </cell>
          <cell r="AN46">
            <v>3.195988252100116E-7</v>
          </cell>
          <cell r="AO46">
            <v>2.5398464575616241E-5</v>
          </cell>
          <cell r="AP46">
            <v>2.4433756009334271E-6</v>
          </cell>
          <cell r="AQ46">
            <v>3.0465650161222382E-6</v>
          </cell>
          <cell r="AR46">
            <v>1.9768346571836911E-5</v>
          </cell>
          <cell r="AS46">
            <v>5.3062536478899212E-6</v>
          </cell>
          <cell r="AT46">
            <v>2.5330577663304289E-5</v>
          </cell>
          <cell r="AU46">
            <v>1.524002116115045E-5</v>
          </cell>
          <cell r="AV46">
            <v>2.1188620662259131E-5</v>
          </cell>
          <cell r="AW46">
            <v>1.035166139627766E-5</v>
          </cell>
          <cell r="AX46">
            <v>1.147427298047924E-5</v>
          </cell>
          <cell r="AY46">
            <v>1.0027655898090951E-5</v>
          </cell>
          <cell r="AZ46">
            <v>-1.481611317398231E-5</v>
          </cell>
          <cell r="BA46">
            <v>6.9273082532644893E-6</v>
          </cell>
          <cell r="BB46">
            <v>1.0619722600409319E-5</v>
          </cell>
          <cell r="BC46">
            <v>7.8152070216715803E-6</v>
          </cell>
          <cell r="BD46">
            <v>1.98338261391778E-6</v>
          </cell>
          <cell r="BE46">
            <v>6.9273082532644893E-6</v>
          </cell>
          <cell r="BF46">
            <v>-9.2407174133047538E-6</v>
          </cell>
          <cell r="BG46">
            <v>6.8855278059392007E-6</v>
          </cell>
          <cell r="BH46">
            <v>-1.376147637530954E-5</v>
          </cell>
          <cell r="BI46">
            <v>-1.5893590762258768E-5</v>
          </cell>
          <cell r="BJ46">
            <v>1.8261953748272409E-5</v>
          </cell>
          <cell r="BK46">
            <v>3.1188804388305083E-5</v>
          </cell>
          <cell r="BL46">
            <v>1.015368866438676E-6</v>
          </cell>
          <cell r="BM46">
            <v>-6.0609477762931136E-6</v>
          </cell>
          <cell r="BN46">
            <v>-5.117476690978033E-6</v>
          </cell>
          <cell r="BO46">
            <v>1.155857577372322E-6</v>
          </cell>
          <cell r="BP46">
            <v>1.5155924914368489E-6</v>
          </cell>
          <cell r="BQ46">
            <v>1.5155924914368489E-6</v>
          </cell>
          <cell r="BR46">
            <v>2.9119137644713002E-7</v>
          </cell>
          <cell r="BS46">
            <v>-1.0461097976699229E-6</v>
          </cell>
          <cell r="BT46">
            <v>2.8784613561320529E-6</v>
          </cell>
          <cell r="BU46">
            <v>1.9467130293644881E-6</v>
          </cell>
          <cell r="BV46">
            <v>1.327604307159545E-5</v>
          </cell>
          <cell r="BW46">
            <v>7.6635949453232595E-6</v>
          </cell>
          <cell r="BX46">
            <v>-1.0624805580341209E-5</v>
          </cell>
          <cell r="BY46">
            <v>-2.4827865800985361E-5</v>
          </cell>
          <cell r="BZ46">
            <v>-2.5413385210592351E-6</v>
          </cell>
          <cell r="CA46">
            <v>-2.4433056373198638E-5</v>
          </cell>
          <cell r="CB46">
            <v>-1.0392007677119191E-5</v>
          </cell>
          <cell r="CC46">
            <v>1.452338308924587E-5</v>
          </cell>
          <cell r="CD46">
            <v>1.869794442702878E-5</v>
          </cell>
          <cell r="CE46">
            <v>-1.227455027974153E-6</v>
          </cell>
        </row>
        <row r="47">
          <cell r="A47" t="str">
            <v>ES1 Index</v>
          </cell>
          <cell r="B47">
            <v>7.6489114555422666E-6</v>
          </cell>
          <cell r="C47">
            <v>-5.2169155836644737E-5</v>
          </cell>
          <cell r="D47">
            <v>-1.066193733290546E-4</v>
          </cell>
          <cell r="E47">
            <v>-4.5248921784381441E-5</v>
          </cell>
          <cell r="F47">
            <v>2.7070374168375259E-5</v>
          </cell>
          <cell r="G47">
            <v>-4.1600965200785997E-5</v>
          </cell>
          <cell r="H47">
            <v>2.238933217024169E-5</v>
          </cell>
          <cell r="I47">
            <v>-2.5225044696476909E-6</v>
          </cell>
          <cell r="J47">
            <v>-2.3481072986077191E-5</v>
          </cell>
          <cell r="K47">
            <v>-8.2326750228961933E-6</v>
          </cell>
          <cell r="L47">
            <v>2.620896272336333E-5</v>
          </cell>
          <cell r="M47">
            <v>-3.416793419440973E-5</v>
          </cell>
          <cell r="N47">
            <v>-7.9808500418972311E-5</v>
          </cell>
          <cell r="O47">
            <v>-6.6682197637228722E-5</v>
          </cell>
          <cell r="P47">
            <v>-6.047095802718665E-5</v>
          </cell>
          <cell r="Q47">
            <v>-3.6953935278228451E-5</v>
          </cell>
          <cell r="R47">
            <v>-8.3754283326090967E-5</v>
          </cell>
          <cell r="S47">
            <v>-9.0226577467798229E-5</v>
          </cell>
          <cell r="T47">
            <v>-7.8628693510533743E-5</v>
          </cell>
          <cell r="U47">
            <v>-3.8451718592307662E-5</v>
          </cell>
          <cell r="V47">
            <v>-5.2499314594869889E-7</v>
          </cell>
          <cell r="W47">
            <v>-1.144816991118004E-5</v>
          </cell>
          <cell r="X47">
            <v>-1.7021579627327321E-5</v>
          </cell>
          <cell r="Y47">
            <v>3.3807811458169832E-6</v>
          </cell>
          <cell r="Z47">
            <v>3.4175577666625941E-6</v>
          </cell>
          <cell r="AA47">
            <v>1.085690610921576E-5</v>
          </cell>
          <cell r="AB47">
            <v>3.189614482398977E-5</v>
          </cell>
          <cell r="AC47">
            <v>3.7532818854212558E-5</v>
          </cell>
          <cell r="AD47">
            <v>-1.7702476218756111E-6</v>
          </cell>
          <cell r="AE47">
            <v>1.477496106944275E-6</v>
          </cell>
          <cell r="AF47">
            <v>-1.2516403858056309E-6</v>
          </cell>
          <cell r="AG47">
            <v>-3.3751124158383261E-7</v>
          </cell>
          <cell r="AH47">
            <v>1.9285784745467849E-6</v>
          </cell>
          <cell r="AI47">
            <v>4.4530071871056589E-7</v>
          </cell>
          <cell r="AJ47">
            <v>2.286816794721299E-6</v>
          </cell>
          <cell r="AK47">
            <v>2.894768954609977E-5</v>
          </cell>
          <cell r="AL47">
            <v>1.5530618020727529E-5</v>
          </cell>
          <cell r="AM47">
            <v>6.2013293572998137E-5</v>
          </cell>
          <cell r="AN47">
            <v>-2.9584905270336032E-7</v>
          </cell>
          <cell r="AO47">
            <v>2.9955171839805701E-5</v>
          </cell>
          <cell r="AP47">
            <v>9.3664153537282087E-7</v>
          </cell>
          <cell r="AQ47">
            <v>2.1313114054050351E-6</v>
          </cell>
          <cell r="AR47">
            <v>5.4374868793727974E-6</v>
          </cell>
          <cell r="AS47">
            <v>5.9821968083154998E-6</v>
          </cell>
          <cell r="AT47">
            <v>1.524002116115045E-5</v>
          </cell>
          <cell r="AU47">
            <v>2.6354233081238808E-4</v>
          </cell>
          <cell r="AV47">
            <v>2.8439339401966279E-4</v>
          </cell>
          <cell r="AW47">
            <v>2.5472915462053809E-4</v>
          </cell>
          <cell r="AX47">
            <v>3.2441685639653101E-4</v>
          </cell>
          <cell r="AY47">
            <v>2.419926004873087E-4</v>
          </cell>
          <cell r="AZ47">
            <v>2.9255949597442311E-4</v>
          </cell>
          <cell r="BA47">
            <v>2.4379388523002911E-4</v>
          </cell>
          <cell r="BB47">
            <v>2.2144568075776921E-4</v>
          </cell>
          <cell r="BC47">
            <v>2.3518416839812451E-4</v>
          </cell>
          <cell r="BD47">
            <v>1.722686774080284E-4</v>
          </cell>
          <cell r="BE47">
            <v>2.4379388523002911E-4</v>
          </cell>
          <cell r="BF47">
            <v>-1.083452925171262E-3</v>
          </cell>
          <cell r="BG47">
            <v>1.288479730916377E-4</v>
          </cell>
          <cell r="BH47">
            <v>2.5945814567746272E-4</v>
          </cell>
          <cell r="BI47">
            <v>2.4193293803818601E-4</v>
          </cell>
          <cell r="BJ47">
            <v>2.7970044450745241E-4</v>
          </cell>
          <cell r="BK47">
            <v>2.5103454924684589E-4</v>
          </cell>
          <cell r="BL47">
            <v>1.037030970620819E-4</v>
          </cell>
          <cell r="BM47">
            <v>2.8314062109407442E-4</v>
          </cell>
          <cell r="BN47">
            <v>2.7234874972111229E-4</v>
          </cell>
          <cell r="BO47">
            <v>2.1298132032872689E-4</v>
          </cell>
          <cell r="BP47">
            <v>1.873058689984375E-4</v>
          </cell>
          <cell r="BQ47">
            <v>1.873058689984375E-4</v>
          </cell>
          <cell r="BR47">
            <v>2.0340283086879679E-4</v>
          </cell>
          <cell r="BS47">
            <v>1.5717289455590691E-4</v>
          </cell>
          <cell r="BT47">
            <v>1.4097455054549039E-4</v>
          </cell>
          <cell r="BU47">
            <v>8.9754131484794889E-5</v>
          </cell>
          <cell r="BV47">
            <v>2.0406389964047229E-4</v>
          </cell>
          <cell r="BW47">
            <v>2.2472651281100611E-4</v>
          </cell>
          <cell r="BX47">
            <v>3.0921511434289859E-4</v>
          </cell>
          <cell r="BY47">
            <v>-3.7686857367946798E-5</v>
          </cell>
          <cell r="BZ47">
            <v>3.0500526229226189E-5</v>
          </cell>
          <cell r="CA47">
            <v>-6.0518356954646346E-6</v>
          </cell>
          <cell r="CB47">
            <v>1.8996724673773889E-4</v>
          </cell>
          <cell r="CC47">
            <v>4.3146745738250533E-5</v>
          </cell>
          <cell r="CD47">
            <v>1.7636715076878979E-4</v>
          </cell>
          <cell r="CE47">
            <v>1.3765955967216009E-4</v>
          </cell>
        </row>
        <row r="48">
          <cell r="A48" t="str">
            <v>NQ1 Index</v>
          </cell>
          <cell r="B48">
            <v>1.8457741493158479E-6</v>
          </cell>
          <cell r="C48">
            <v>-4.9554933219072582E-5</v>
          </cell>
          <cell r="D48">
            <v>-1.0304079263022081E-4</v>
          </cell>
          <cell r="E48">
            <v>-4.9131654014662198E-5</v>
          </cell>
          <cell r="F48">
            <v>2.9236683860634231E-5</v>
          </cell>
          <cell r="G48">
            <v>-4.8382118603461808E-5</v>
          </cell>
          <cell r="H48">
            <v>1.7018370854116E-5</v>
          </cell>
          <cell r="I48">
            <v>-5.9874501201089633E-6</v>
          </cell>
          <cell r="J48">
            <v>-2.6476016596963291E-5</v>
          </cell>
          <cell r="K48">
            <v>-5.7779322431303316E-6</v>
          </cell>
          <cell r="L48">
            <v>2.7660742172206459E-5</v>
          </cell>
          <cell r="M48">
            <v>-2.7954809094031079E-5</v>
          </cell>
          <cell r="N48">
            <v>-7.8571386412703054E-5</v>
          </cell>
          <cell r="O48">
            <v>-6.6338218638433951E-5</v>
          </cell>
          <cell r="P48">
            <v>-3.542635256257234E-5</v>
          </cell>
          <cell r="Q48">
            <v>-2.8869243828296269E-5</v>
          </cell>
          <cell r="R48">
            <v>-7.8348430918771372E-5</v>
          </cell>
          <cell r="S48">
            <v>-7.2841684342243778E-5</v>
          </cell>
          <cell r="T48">
            <v>-7.0449775357289809E-5</v>
          </cell>
          <cell r="U48">
            <v>-3.4986038397145462E-5</v>
          </cell>
          <cell r="V48">
            <v>-6.5118372663248421E-7</v>
          </cell>
          <cell r="W48">
            <v>-1.403663178229717E-5</v>
          </cell>
          <cell r="X48">
            <v>-1.101391925274545E-5</v>
          </cell>
          <cell r="Y48">
            <v>4.0001213069855254E-6</v>
          </cell>
          <cell r="Z48">
            <v>4.8038091230215E-6</v>
          </cell>
          <cell r="AA48">
            <v>1.46443497122097E-5</v>
          </cell>
          <cell r="AB48">
            <v>4.3364029732189008E-5</v>
          </cell>
          <cell r="AC48">
            <v>6.360807737956626E-5</v>
          </cell>
          <cell r="AD48">
            <v>-6.9249183267694127E-7</v>
          </cell>
          <cell r="AE48">
            <v>2.931802380767177E-6</v>
          </cell>
          <cell r="AF48">
            <v>1.1952520779725989E-6</v>
          </cell>
          <cell r="AG48">
            <v>5.7826185623429964E-6</v>
          </cell>
          <cell r="AH48">
            <v>1.167682314209917E-5</v>
          </cell>
          <cell r="AI48">
            <v>2.193683948413977E-5</v>
          </cell>
          <cell r="AJ48">
            <v>3.3885417030565461E-5</v>
          </cell>
          <cell r="AK48">
            <v>3.9113929693914081E-5</v>
          </cell>
          <cell r="AL48">
            <v>1.5645764279387221E-5</v>
          </cell>
          <cell r="AM48">
            <v>7.1536332901967739E-5</v>
          </cell>
          <cell r="AN48">
            <v>1.3483358772559909E-7</v>
          </cell>
          <cell r="AO48">
            <v>3.7993488935717407E-5</v>
          </cell>
          <cell r="AP48">
            <v>1.5825417359846921E-6</v>
          </cell>
          <cell r="AQ48">
            <v>3.3550426326570199E-6</v>
          </cell>
          <cell r="AR48">
            <v>2.075256070263432E-5</v>
          </cell>
          <cell r="AS48">
            <v>6.8100323353175214E-6</v>
          </cell>
          <cell r="AT48">
            <v>2.1188620662259131E-5</v>
          </cell>
          <cell r="AU48">
            <v>2.8439339401966279E-4</v>
          </cell>
          <cell r="AV48">
            <v>3.5427286494204001E-4</v>
          </cell>
          <cell r="AW48">
            <v>2.5158391989486112E-4</v>
          </cell>
          <cell r="AX48">
            <v>3.3108453024330357E-4</v>
          </cell>
          <cell r="AY48">
            <v>2.2934768291700081E-4</v>
          </cell>
          <cell r="AZ48">
            <v>2.264293879039561E-4</v>
          </cell>
          <cell r="BA48">
            <v>2.3428385573952851E-4</v>
          </cell>
          <cell r="BB48">
            <v>2.1280850494169459E-4</v>
          </cell>
          <cell r="BC48">
            <v>2.2033158801515511E-4</v>
          </cell>
          <cell r="BD48">
            <v>1.5105713066639851E-4</v>
          </cell>
          <cell r="BE48">
            <v>2.3428385573952851E-4</v>
          </cell>
          <cell r="BF48">
            <v>-1.008646507011469E-3</v>
          </cell>
          <cell r="BG48">
            <v>9.7005331604326216E-5</v>
          </cell>
          <cell r="BH48">
            <v>2.0367033663966171E-4</v>
          </cell>
          <cell r="BI48">
            <v>1.9185017677617671E-4</v>
          </cell>
          <cell r="BJ48">
            <v>2.7498205863463892E-4</v>
          </cell>
          <cell r="BK48">
            <v>2.4412356810252101E-4</v>
          </cell>
          <cell r="BL48">
            <v>1.0733282516666251E-4</v>
          </cell>
          <cell r="BM48">
            <v>2.5630849418110648E-4</v>
          </cell>
          <cell r="BN48">
            <v>2.4611819398663402E-4</v>
          </cell>
          <cell r="BO48">
            <v>1.7438992460230981E-4</v>
          </cell>
          <cell r="BP48">
            <v>1.97829645326224E-4</v>
          </cell>
          <cell r="BQ48">
            <v>1.97829645326224E-4</v>
          </cell>
          <cell r="BR48">
            <v>2.123048259227149E-4</v>
          </cell>
          <cell r="BS48">
            <v>1.6101938984358351E-4</v>
          </cell>
          <cell r="BT48">
            <v>1.5781325942821689E-4</v>
          </cell>
          <cell r="BU48">
            <v>1.130055029611335E-4</v>
          </cell>
          <cell r="BV48">
            <v>2.100569791546215E-4</v>
          </cell>
          <cell r="BW48">
            <v>2.4198727064252021E-4</v>
          </cell>
          <cell r="BX48">
            <v>2.83565901911727E-4</v>
          </cell>
          <cell r="BY48">
            <v>-5.8843339912326522E-5</v>
          </cell>
          <cell r="BZ48">
            <v>3.9296799620920164E-6</v>
          </cell>
          <cell r="CA48">
            <v>-4.1355946465512409E-5</v>
          </cell>
          <cell r="CB48">
            <v>2.1252308557993921E-4</v>
          </cell>
          <cell r="CC48">
            <v>4.8975273568555963E-5</v>
          </cell>
          <cell r="CD48">
            <v>1.727733846575457E-4</v>
          </cell>
          <cell r="CE48">
            <v>1.264635069939462E-4</v>
          </cell>
        </row>
        <row r="49">
          <cell r="A49" t="str">
            <v>DM1 Index</v>
          </cell>
          <cell r="B49">
            <v>1.274439866404024E-5</v>
          </cell>
          <cell r="C49">
            <v>-5.502517249538871E-5</v>
          </cell>
          <cell r="D49">
            <v>-1.107225165783482E-4</v>
          </cell>
          <cell r="E49">
            <v>-4.4491266797730777E-5</v>
          </cell>
          <cell r="F49">
            <v>2.6088403504727611E-5</v>
          </cell>
          <cell r="G49">
            <v>-3.7758481261030288E-5</v>
          </cell>
          <cell r="H49">
            <v>2.7442271118439181E-5</v>
          </cell>
          <cell r="I49">
            <v>-3.4261093051411322E-7</v>
          </cell>
          <cell r="J49">
            <v>-2.4695601827904189E-5</v>
          </cell>
          <cell r="K49">
            <v>-1.009654693700839E-5</v>
          </cell>
          <cell r="L49">
            <v>2.5356361235962329E-5</v>
          </cell>
          <cell r="M49">
            <v>-3.7944676947599919E-5</v>
          </cell>
          <cell r="N49">
            <v>-8.1117073416616146E-5</v>
          </cell>
          <cell r="O49">
            <v>-6.7834712929579509E-5</v>
          </cell>
          <cell r="P49">
            <v>-6.8898922399713132E-5</v>
          </cell>
          <cell r="Q49">
            <v>-4.0294279045530841E-5</v>
          </cell>
          <cell r="R49">
            <v>-8.6235593585419875E-5</v>
          </cell>
          <cell r="S49">
            <v>-9.9814894996303201E-5</v>
          </cell>
          <cell r="T49">
            <v>-8.190300599519557E-5</v>
          </cell>
          <cell r="U49">
            <v>-3.7221094299631832E-5</v>
          </cell>
          <cell r="V49">
            <v>1.8497414324765941E-6</v>
          </cell>
          <cell r="W49">
            <v>-9.9941796979096197E-6</v>
          </cell>
          <cell r="X49">
            <v>-2.5549726499784978E-5</v>
          </cell>
          <cell r="Y49">
            <v>2.7359070900939711E-6</v>
          </cell>
          <cell r="Z49">
            <v>2.2047725691606919E-6</v>
          </cell>
          <cell r="AA49">
            <v>8.2440251445164732E-6</v>
          </cell>
          <cell r="AB49">
            <v>2.578637121344132E-5</v>
          </cell>
          <cell r="AC49">
            <v>2.2167735463677369E-5</v>
          </cell>
          <cell r="AD49">
            <v>-2.571656984947531E-6</v>
          </cell>
          <cell r="AE49">
            <v>2.537108828769036E-7</v>
          </cell>
          <cell r="AF49">
            <v>-2.7529928560740651E-6</v>
          </cell>
          <cell r="AG49">
            <v>-3.4349898963391129E-6</v>
          </cell>
          <cell r="AH49">
            <v>-3.557954286692015E-6</v>
          </cell>
          <cell r="AI49">
            <v>-1.3151203581127161E-5</v>
          </cell>
          <cell r="AJ49">
            <v>-1.5751416872699801E-5</v>
          </cell>
          <cell r="AK49">
            <v>2.2403347149629791E-5</v>
          </cell>
          <cell r="AL49">
            <v>1.6358101607652239E-5</v>
          </cell>
          <cell r="AM49">
            <v>5.9684038138740152E-5</v>
          </cell>
          <cell r="AN49">
            <v>-4.2992687999121939E-7</v>
          </cell>
          <cell r="AO49">
            <v>2.745445011620509E-5</v>
          </cell>
          <cell r="AP49">
            <v>5.8860593288045548E-7</v>
          </cell>
          <cell r="AQ49">
            <v>1.428331548154225E-6</v>
          </cell>
          <cell r="AR49">
            <v>-3.1015011832480151E-6</v>
          </cell>
          <cell r="AS49">
            <v>5.1990745011530839E-6</v>
          </cell>
          <cell r="AT49">
            <v>1.035166139627766E-5</v>
          </cell>
          <cell r="AU49">
            <v>2.5472915462053809E-4</v>
          </cell>
          <cell r="AV49">
            <v>2.5158391989486112E-4</v>
          </cell>
          <cell r="AW49">
            <v>2.6780668363190959E-4</v>
          </cell>
          <cell r="AX49">
            <v>3.2594486140656147E-4</v>
          </cell>
          <cell r="AY49">
            <v>2.6054641684047209E-4</v>
          </cell>
          <cell r="AZ49">
            <v>3.4176243172232207E-4</v>
          </cell>
          <cell r="BA49">
            <v>2.624855360458213E-4</v>
          </cell>
          <cell r="BB49">
            <v>2.3319490378165709E-4</v>
          </cell>
          <cell r="BC49">
            <v>2.5489420641138069E-4</v>
          </cell>
          <cell r="BD49">
            <v>1.8723161067473091E-4</v>
          </cell>
          <cell r="BE49">
            <v>2.624855360458213E-4</v>
          </cell>
          <cell r="BF49">
            <v>-1.169537735423906E-3</v>
          </cell>
          <cell r="BG49">
            <v>1.3373543049997199E-4</v>
          </cell>
          <cell r="BH49">
            <v>2.9805888497421752E-4</v>
          </cell>
          <cell r="BI49">
            <v>2.8437514434024891E-4</v>
          </cell>
          <cell r="BJ49">
            <v>2.9458001906312121E-4</v>
          </cell>
          <cell r="BK49">
            <v>2.6042230479154699E-4</v>
          </cell>
          <cell r="BL49">
            <v>8.7146640888549867E-5</v>
          </cell>
          <cell r="BM49">
            <v>3.15478990192551E-4</v>
          </cell>
          <cell r="BN49">
            <v>2.9184725093653818E-4</v>
          </cell>
          <cell r="BO49">
            <v>2.4089384390715531E-4</v>
          </cell>
          <cell r="BP49">
            <v>1.9212761881306169E-4</v>
          </cell>
          <cell r="BQ49">
            <v>1.9212761881306169E-4</v>
          </cell>
          <cell r="BR49">
            <v>2.0839620547219131E-4</v>
          </cell>
          <cell r="BS49">
            <v>1.6448578016516939E-4</v>
          </cell>
          <cell r="BT49">
            <v>1.3807355370850779E-4</v>
          </cell>
          <cell r="BU49">
            <v>8.3587556975707442E-5</v>
          </cell>
          <cell r="BV49">
            <v>2.1091486869860549E-4</v>
          </cell>
          <cell r="BW49">
            <v>2.2226954093797091E-4</v>
          </cell>
          <cell r="BX49">
            <v>3.4019694241806911E-4</v>
          </cell>
          <cell r="BY49">
            <v>-3.4553156139858299E-5</v>
          </cell>
          <cell r="BZ49">
            <v>4.787674125689314E-5</v>
          </cell>
          <cell r="CA49">
            <v>1.022411769339975E-5</v>
          </cell>
          <cell r="CB49">
            <v>1.5976584260729871E-4</v>
          </cell>
          <cell r="CC49">
            <v>4.133569300687647E-5</v>
          </cell>
          <cell r="CD49">
            <v>1.8668701142354971E-4</v>
          </cell>
          <cell r="CE49">
            <v>1.4464811430340421E-4</v>
          </cell>
        </row>
        <row r="50">
          <cell r="A50" t="str">
            <v>RTY1 Index</v>
          </cell>
          <cell r="B50">
            <v>1.5914218360382521E-5</v>
          </cell>
          <cell r="C50">
            <v>-6.8536849178593676E-5</v>
          </cell>
          <cell r="D50">
            <v>-1.5158212507911849E-4</v>
          </cell>
          <cell r="E50">
            <v>-6.3000753756871074E-5</v>
          </cell>
          <cell r="F50">
            <v>3.381478427998505E-5</v>
          </cell>
          <cell r="G50">
            <v>-5.7149259035883012E-5</v>
          </cell>
          <cell r="H50">
            <v>3.5297003706134559E-5</v>
          </cell>
          <cell r="I50">
            <v>-2.381277818448087E-6</v>
          </cell>
          <cell r="J50">
            <v>-3.0036572463144869E-5</v>
          </cell>
          <cell r="K50">
            <v>-1.279380263140688E-5</v>
          </cell>
          <cell r="L50">
            <v>3.3273466686469388E-5</v>
          </cell>
          <cell r="M50">
            <v>-5.2007111702363727E-5</v>
          </cell>
          <cell r="N50">
            <v>-1.1312319206511959E-4</v>
          </cell>
          <cell r="O50">
            <v>-9.2846358293024696E-5</v>
          </cell>
          <cell r="P50">
            <v>-1.0024587609750981E-4</v>
          </cell>
          <cell r="Q50">
            <v>-5.8050631149164861E-5</v>
          </cell>
          <cell r="R50">
            <v>-1.2469045279741339E-4</v>
          </cell>
          <cell r="S50">
            <v>-1.3393762954266831E-4</v>
          </cell>
          <cell r="T50">
            <v>-1.166845721859082E-4</v>
          </cell>
          <cell r="U50">
            <v>-5.2841118869468967E-5</v>
          </cell>
          <cell r="V50">
            <v>-2.653434644463306E-6</v>
          </cell>
          <cell r="W50">
            <v>-1.5139560171495559E-5</v>
          </cell>
          <cell r="X50">
            <v>-5.5150146042382932E-5</v>
          </cell>
          <cell r="Y50">
            <v>3.4858605546577611E-6</v>
          </cell>
          <cell r="Z50">
            <v>2.9108139597951709E-6</v>
          </cell>
          <cell r="AA50">
            <v>1.137347358964964E-5</v>
          </cell>
          <cell r="AB50">
            <v>3.2469463398970093E-5</v>
          </cell>
          <cell r="AC50">
            <v>2.5432099175638438E-5</v>
          </cell>
          <cell r="AD50">
            <v>-3.3842639582140548E-6</v>
          </cell>
          <cell r="AE50">
            <v>2.5566383416400738E-7</v>
          </cell>
          <cell r="AF50">
            <v>-3.3335492346371471E-6</v>
          </cell>
          <cell r="AG50">
            <v>-4.4838032759373058E-6</v>
          </cell>
          <cell r="AH50">
            <v>-5.5965105844697424E-6</v>
          </cell>
          <cell r="AI50">
            <v>-1.6730927428379849E-5</v>
          </cell>
          <cell r="AJ50">
            <v>-2.4441214122115531E-5</v>
          </cell>
          <cell r="AK50">
            <v>3.0463238630019651E-5</v>
          </cell>
          <cell r="AL50">
            <v>2.1313749680437829E-5</v>
          </cell>
          <cell r="AM50">
            <v>8.0677325603004587E-5</v>
          </cell>
          <cell r="AN50">
            <v>-2.9061703302109459E-7</v>
          </cell>
          <cell r="AO50">
            <v>2.6044313774909979E-5</v>
          </cell>
          <cell r="AP50">
            <v>6.1663769132592746E-7</v>
          </cell>
          <cell r="AQ50">
            <v>1.4600454320480499E-6</v>
          </cell>
          <cell r="AR50">
            <v>-6.3419663591859636E-6</v>
          </cell>
          <cell r="AS50">
            <v>6.5775139716531641E-6</v>
          </cell>
          <cell r="AT50">
            <v>1.147427298047924E-5</v>
          </cell>
          <cell r="AU50">
            <v>3.2441685639653101E-4</v>
          </cell>
          <cell r="AV50">
            <v>3.3108453024330357E-4</v>
          </cell>
          <cell r="AW50">
            <v>3.2594486140656147E-4</v>
          </cell>
          <cell r="AX50">
            <v>4.9534962520352303E-4</v>
          </cell>
          <cell r="AY50">
            <v>3.2986259733314778E-4</v>
          </cell>
          <cell r="AZ50">
            <v>4.507137003303832E-4</v>
          </cell>
          <cell r="BA50">
            <v>3.258389975481617E-4</v>
          </cell>
          <cell r="BB50">
            <v>2.960671395570814E-4</v>
          </cell>
          <cell r="BC50">
            <v>3.2311278065893172E-4</v>
          </cell>
          <cell r="BD50">
            <v>2.4479710953457742E-4</v>
          </cell>
          <cell r="BE50">
            <v>3.258389975481617E-4</v>
          </cell>
          <cell r="BF50">
            <v>-1.5153001792593871E-3</v>
          </cell>
          <cell r="BG50">
            <v>1.8228733111605471E-4</v>
          </cell>
          <cell r="BH50">
            <v>3.9288957279230631E-4</v>
          </cell>
          <cell r="BI50">
            <v>3.863933371318744E-4</v>
          </cell>
          <cell r="BJ50">
            <v>3.8399258093994631E-4</v>
          </cell>
          <cell r="BK50">
            <v>3.216660506947396E-4</v>
          </cell>
          <cell r="BL50">
            <v>4.5554811405386418E-4</v>
          </cell>
          <cell r="BM50">
            <v>4.2114129486486482E-4</v>
          </cell>
          <cell r="BN50">
            <v>3.8413252605862968E-4</v>
          </cell>
          <cell r="BO50">
            <v>3.0675273414766782E-4</v>
          </cell>
          <cell r="BP50">
            <v>2.6901718733351109E-4</v>
          </cell>
          <cell r="BQ50">
            <v>2.6901718733351109E-4</v>
          </cell>
          <cell r="BR50">
            <v>2.9265760664572008E-4</v>
          </cell>
          <cell r="BS50">
            <v>2.220031339110362E-4</v>
          </cell>
          <cell r="BT50">
            <v>1.874683298997619E-4</v>
          </cell>
          <cell r="BU50">
            <v>1.2519653054931929E-4</v>
          </cell>
          <cell r="BV50">
            <v>2.8415991504144472E-4</v>
          </cell>
          <cell r="BW50">
            <v>3.0708270086566002E-4</v>
          </cell>
          <cell r="BX50">
            <v>5.1577368562290434E-4</v>
          </cell>
          <cell r="BY50">
            <v>-6.2384214219561858E-6</v>
          </cell>
          <cell r="BZ50">
            <v>5.7159166793433848E-5</v>
          </cell>
          <cell r="CA50">
            <v>1.6790575840340601E-5</v>
          </cell>
          <cell r="CB50">
            <v>2.4274432438346939E-4</v>
          </cell>
          <cell r="CC50">
            <v>4.959191920331708E-5</v>
          </cell>
          <cell r="CD50">
            <v>2.5817969890445122E-4</v>
          </cell>
          <cell r="CE50">
            <v>1.9513939055783029E-4</v>
          </cell>
        </row>
        <row r="51">
          <cell r="A51" t="str">
            <v>VG1 Index</v>
          </cell>
          <cell r="B51">
            <v>1.8410995602744491E-5</v>
          </cell>
          <cell r="C51">
            <v>-5.824706334013421E-5</v>
          </cell>
          <cell r="D51">
            <v>-1.119893468210261E-4</v>
          </cell>
          <cell r="E51">
            <v>-4.8105976526865868E-5</v>
          </cell>
          <cell r="F51">
            <v>2.7400252766353931E-5</v>
          </cell>
          <cell r="G51">
            <v>-4.051889009072688E-5</v>
          </cell>
          <cell r="H51">
            <v>3.0517922347146792E-5</v>
          </cell>
          <cell r="I51">
            <v>3.9976808563481397E-6</v>
          </cell>
          <cell r="J51">
            <v>-2.6509074062917538E-5</v>
          </cell>
          <cell r="K51">
            <v>-1.061135067199958E-5</v>
          </cell>
          <cell r="L51">
            <v>2.6329992147413201E-5</v>
          </cell>
          <cell r="M51">
            <v>-3.9627559111809631E-5</v>
          </cell>
          <cell r="N51">
            <v>-7.8929109293313172E-5</v>
          </cell>
          <cell r="O51">
            <v>-6.805217704523659E-5</v>
          </cell>
          <cell r="P51">
            <v>-8.3145338072305289E-5</v>
          </cell>
          <cell r="Q51">
            <v>-5.3814727860342727E-5</v>
          </cell>
          <cell r="R51">
            <v>-9.5687009670163657E-5</v>
          </cell>
          <cell r="S51">
            <v>-1.08955817987677E-4</v>
          </cell>
          <cell r="T51">
            <v>-9.0497060984469385E-5</v>
          </cell>
          <cell r="U51">
            <v>-3.3819821764574603E-5</v>
          </cell>
          <cell r="V51">
            <v>7.1767117907526701E-7</v>
          </cell>
          <cell r="W51">
            <v>-7.6527306122083067E-6</v>
          </cell>
          <cell r="X51">
            <v>-3.0458091348822301E-5</v>
          </cell>
          <cell r="Y51">
            <v>2.587546832617132E-6</v>
          </cell>
          <cell r="Z51">
            <v>1.134202491130025E-6</v>
          </cell>
          <cell r="AA51">
            <v>6.3467468483908526E-6</v>
          </cell>
          <cell r="AB51">
            <v>2.4512392820832559E-5</v>
          </cell>
          <cell r="AC51">
            <v>1.377345944175677E-5</v>
          </cell>
          <cell r="AD51">
            <v>-3.552971414772901E-6</v>
          </cell>
          <cell r="AE51">
            <v>-3.3306292038598698E-7</v>
          </cell>
          <cell r="AF51">
            <v>-3.1774563444489551E-6</v>
          </cell>
          <cell r="AG51">
            <v>-3.9700589787163709E-6</v>
          </cell>
          <cell r="AH51">
            <v>-4.6435869388810978E-6</v>
          </cell>
          <cell r="AI51">
            <v>-1.463957197964398E-5</v>
          </cell>
          <cell r="AJ51">
            <v>-1.162273486660077E-5</v>
          </cell>
          <cell r="AK51">
            <v>2.4147111690248519E-5</v>
          </cell>
          <cell r="AL51">
            <v>1.993240491970566E-5</v>
          </cell>
          <cell r="AM51">
            <v>7.0712831950900786E-5</v>
          </cell>
          <cell r="AN51">
            <v>-5.8701025707046572E-7</v>
          </cell>
          <cell r="AO51">
            <v>3.0358139367736328E-5</v>
          </cell>
          <cell r="AP51">
            <v>6.5538023188255229E-7</v>
          </cell>
          <cell r="AQ51">
            <v>1.4604692197949291E-6</v>
          </cell>
          <cell r="AR51">
            <v>-6.5464978543573344E-6</v>
          </cell>
          <cell r="AS51">
            <v>4.295065899357762E-6</v>
          </cell>
          <cell r="AT51">
            <v>1.0027655898090951E-5</v>
          </cell>
          <cell r="AU51">
            <v>2.419926004873087E-4</v>
          </cell>
          <cell r="AV51">
            <v>2.2934768291700081E-4</v>
          </cell>
          <cell r="AW51">
            <v>2.6054641684047209E-4</v>
          </cell>
          <cell r="AX51">
            <v>3.2986259733314778E-4</v>
          </cell>
          <cell r="AY51">
            <v>3.2538451878949548E-4</v>
          </cell>
          <cell r="AZ51">
            <v>4.5722916657468381E-4</v>
          </cell>
          <cell r="BA51">
            <v>3.2221427383218601E-4</v>
          </cell>
          <cell r="BB51">
            <v>2.7820786043520631E-4</v>
          </cell>
          <cell r="BC51">
            <v>3.2086052069064448E-4</v>
          </cell>
          <cell r="BD51">
            <v>2.296541157750554E-4</v>
          </cell>
          <cell r="BE51">
            <v>3.2221427383218601E-4</v>
          </cell>
          <cell r="BF51">
            <v>-1.381923938121964E-3</v>
          </cell>
          <cell r="BG51">
            <v>1.257665556342128E-4</v>
          </cell>
          <cell r="BH51">
            <v>3.917277634544304E-4</v>
          </cell>
          <cell r="BI51">
            <v>3.6965442718874501E-4</v>
          </cell>
          <cell r="BJ51">
            <v>3.4577355807419001E-4</v>
          </cell>
          <cell r="BK51">
            <v>3.0780467507685288E-4</v>
          </cell>
          <cell r="BL51">
            <v>1.006811230179811E-4</v>
          </cell>
          <cell r="BM51">
            <v>4.0394542530056149E-4</v>
          </cell>
          <cell r="BN51">
            <v>3.364256677765295E-4</v>
          </cell>
          <cell r="BO51">
            <v>3.0018106154102689E-4</v>
          </cell>
          <cell r="BP51">
            <v>2.2499842750322419E-4</v>
          </cell>
          <cell r="BQ51">
            <v>2.2499842750322419E-4</v>
          </cell>
          <cell r="BR51">
            <v>2.3392443099564471E-4</v>
          </cell>
          <cell r="BS51">
            <v>1.880933046075641E-4</v>
          </cell>
          <cell r="BT51">
            <v>1.649688460843902E-4</v>
          </cell>
          <cell r="BU51">
            <v>9.2331244455602375E-5</v>
          </cell>
          <cell r="BV51">
            <v>2.275698471926517E-4</v>
          </cell>
          <cell r="BW51">
            <v>2.4281466603212639E-4</v>
          </cell>
          <cell r="BX51">
            <v>3.8166816416048132E-4</v>
          </cell>
          <cell r="BY51">
            <v>-4.216894207496019E-5</v>
          </cell>
          <cell r="BZ51">
            <v>5.5754718486955981E-5</v>
          </cell>
          <cell r="CA51">
            <v>-1.998136707372464E-7</v>
          </cell>
          <cell r="CB51">
            <v>1.172316223408164E-4</v>
          </cell>
          <cell r="CC51">
            <v>3.8531648602025347E-5</v>
          </cell>
          <cell r="CD51">
            <v>2.0585678518327119E-4</v>
          </cell>
          <cell r="CE51">
            <v>1.4907816224133861E-4</v>
          </cell>
        </row>
        <row r="52">
          <cell r="A52" t="str">
            <v>CA1 Index</v>
          </cell>
          <cell r="B52">
            <v>3.9939070033502772E-5</v>
          </cell>
          <cell r="C52">
            <v>-7.8079295892101696E-5</v>
          </cell>
          <cell r="D52">
            <v>-1.5210542782948639E-4</v>
          </cell>
          <cell r="E52">
            <v>-6.4414368608514707E-5</v>
          </cell>
          <cell r="F52">
            <v>4.66096056794973E-5</v>
          </cell>
          <cell r="G52">
            <v>-3.20213881557151E-5</v>
          </cell>
          <cell r="H52">
            <v>6.8473235181575962E-5</v>
          </cell>
          <cell r="I52">
            <v>1.113947152331957E-5</v>
          </cell>
          <cell r="J52">
            <v>-2.7852884654104871E-5</v>
          </cell>
          <cell r="K52">
            <v>-7.9056102637360121E-6</v>
          </cell>
          <cell r="L52">
            <v>4.5770659423447491E-5</v>
          </cell>
          <cell r="M52">
            <v>-5.3631791647234388E-5</v>
          </cell>
          <cell r="N52">
            <v>-9.5437576395654812E-5</v>
          </cell>
          <cell r="O52">
            <v>-8.3032220451731658E-5</v>
          </cell>
          <cell r="P52">
            <v>-1.524824668321174E-4</v>
          </cell>
          <cell r="Q52">
            <v>-7.9352665929381105E-5</v>
          </cell>
          <cell r="R52">
            <v>-1.4712413300041349E-4</v>
          </cell>
          <cell r="S52">
            <v>-1.7909356249506589E-4</v>
          </cell>
          <cell r="T52">
            <v>-1.7024495202620641E-4</v>
          </cell>
          <cell r="U52">
            <v>-4.9883086651455058E-5</v>
          </cell>
          <cell r="V52">
            <v>4.4062291982277058E-6</v>
          </cell>
          <cell r="W52">
            <v>3.035977450892439E-6</v>
          </cell>
          <cell r="X52">
            <v>-5.9136261535063223E-5</v>
          </cell>
          <cell r="Y52">
            <v>1.1626916715541489E-6</v>
          </cell>
          <cell r="Z52">
            <v>-5.3690620658683823E-6</v>
          </cell>
          <cell r="AA52">
            <v>-1.222277795514232E-5</v>
          </cell>
          <cell r="AB52">
            <v>-8.5413125590185367E-6</v>
          </cell>
          <cell r="AC52">
            <v>-7.2970079465722198E-5</v>
          </cell>
          <cell r="AD52">
            <v>-6.1268788414264391E-6</v>
          </cell>
          <cell r="AE52">
            <v>-3.3369433586819049E-6</v>
          </cell>
          <cell r="AF52">
            <v>-9.3505355394276254E-6</v>
          </cell>
          <cell r="AG52">
            <v>-2.28445865467983E-5</v>
          </cell>
          <cell r="AH52">
            <v>-3.6177219777555783E-5</v>
          </cell>
          <cell r="AI52">
            <v>-8.1318223749368503E-5</v>
          </cell>
          <cell r="AJ52">
            <v>-1.0862375942147E-4</v>
          </cell>
          <cell r="AK52">
            <v>-5.2666973878106282E-6</v>
          </cell>
          <cell r="AL52">
            <v>1.9944354045391289E-5</v>
          </cell>
          <cell r="AM52">
            <v>5.9945147132161458E-5</v>
          </cell>
          <cell r="AN52">
            <v>-1.7602480811738799E-6</v>
          </cell>
          <cell r="AO52">
            <v>-8.5827448064012583E-6</v>
          </cell>
          <cell r="AP52">
            <v>-2.4059899505077142E-6</v>
          </cell>
          <cell r="AQ52">
            <v>-3.0922667849153062E-6</v>
          </cell>
          <cell r="AR52">
            <v>-4.5177734079010277E-5</v>
          </cell>
          <cell r="AS52">
            <v>-3.9934941579658156E-6</v>
          </cell>
          <cell r="AT52">
            <v>-1.481611317398231E-5</v>
          </cell>
          <cell r="AU52">
            <v>2.9255949597442311E-4</v>
          </cell>
          <cell r="AV52">
            <v>2.264293879039561E-4</v>
          </cell>
          <cell r="AW52">
            <v>3.4176243172232207E-4</v>
          </cell>
          <cell r="AX52">
            <v>4.507137003303832E-4</v>
          </cell>
          <cell r="AY52">
            <v>4.5722916657468381E-4</v>
          </cell>
          <cell r="AZ52">
            <v>9.162886868446916E-4</v>
          </cell>
          <cell r="BA52">
            <v>4.4089696443620112E-4</v>
          </cell>
          <cell r="BB52">
            <v>3.7708387159565248E-4</v>
          </cell>
          <cell r="BC52">
            <v>4.5995274706553738E-4</v>
          </cell>
          <cell r="BD52">
            <v>3.3188631224283531E-4</v>
          </cell>
          <cell r="BE52">
            <v>4.4089696443620112E-4</v>
          </cell>
          <cell r="BF52">
            <v>-2.027246811989084E-3</v>
          </cell>
          <cell r="BG52">
            <v>2.6017794671728459E-4</v>
          </cell>
          <cell r="BH52">
            <v>7.7301270922242656E-4</v>
          </cell>
          <cell r="BI52">
            <v>5.5906341139882944E-4</v>
          </cell>
          <cell r="BJ52">
            <v>4.5328991317444129E-4</v>
          </cell>
          <cell r="BK52">
            <v>3.8842435335136001E-4</v>
          </cell>
          <cell r="BL52">
            <v>3.3047315103215739E-4</v>
          </cell>
          <cell r="BM52">
            <v>6.3714940069665407E-4</v>
          </cell>
          <cell r="BN52">
            <v>5.0483625589974154E-4</v>
          </cell>
          <cell r="BO52">
            <v>4.9706700753732647E-4</v>
          </cell>
          <cell r="BP52">
            <v>3.0486883538551941E-4</v>
          </cell>
          <cell r="BQ52">
            <v>3.0486883538551941E-4</v>
          </cell>
          <cell r="BR52">
            <v>3.2037312565397718E-4</v>
          </cell>
          <cell r="BS52">
            <v>2.6007667232631168E-4</v>
          </cell>
          <cell r="BT52">
            <v>2.6133018868112578E-4</v>
          </cell>
          <cell r="BU52">
            <v>1.385351567330474E-4</v>
          </cell>
          <cell r="BV52">
            <v>2.9618321027780991E-4</v>
          </cell>
          <cell r="BW52">
            <v>3.4510910086419879E-4</v>
          </cell>
          <cell r="BX52">
            <v>6.0307224893952E-4</v>
          </cell>
          <cell r="BY52">
            <v>-6.6597085532625808E-5</v>
          </cell>
          <cell r="BZ52">
            <v>1.155151975920089E-4</v>
          </cell>
          <cell r="CA52">
            <v>4.605919127558842E-5</v>
          </cell>
          <cell r="CB52">
            <v>1.7841404389053699E-4</v>
          </cell>
          <cell r="CC52">
            <v>3.6420371195069908E-6</v>
          </cell>
          <cell r="CD52">
            <v>2.4628924609489128E-4</v>
          </cell>
          <cell r="CE52">
            <v>2.6209559251101758E-4</v>
          </cell>
        </row>
        <row r="53">
          <cell r="A53" t="str">
            <v>GX1 Index</v>
          </cell>
          <cell r="B53">
            <v>2.1911818674124471E-5</v>
          </cell>
          <cell r="C53">
            <v>-5.7387229259327673E-5</v>
          </cell>
          <cell r="D53">
            <v>-1.1037630874163361E-4</v>
          </cell>
          <cell r="E53">
            <v>-4.9083629691961318E-5</v>
          </cell>
          <cell r="F53">
            <v>2.8192913693783279E-5</v>
          </cell>
          <cell r="G53">
            <v>-3.757667181519845E-5</v>
          </cell>
          <cell r="H53">
            <v>3.4073740161202907E-5</v>
          </cell>
          <cell r="I53">
            <v>7.1894611915774866E-6</v>
          </cell>
          <cell r="J53">
            <v>-2.4739458470872609E-5</v>
          </cell>
          <cell r="K53">
            <v>-9.6572285405445594E-6</v>
          </cell>
          <cell r="L53">
            <v>2.726997166085095E-5</v>
          </cell>
          <cell r="M53">
            <v>-3.8861155554599908E-5</v>
          </cell>
          <cell r="N53">
            <v>-8.1307734887686389E-5</v>
          </cell>
          <cell r="O53">
            <v>-6.5105375337059753E-5</v>
          </cell>
          <cell r="P53">
            <v>-7.6541329194321851E-5</v>
          </cell>
          <cell r="Q53">
            <v>-5.6952913836241507E-5</v>
          </cell>
          <cell r="R53">
            <v>-9.6079327443064944E-5</v>
          </cell>
          <cell r="S53">
            <v>-1.09145053454658E-4</v>
          </cell>
          <cell r="T53">
            <v>-8.7478140657886846E-5</v>
          </cell>
          <cell r="U53">
            <v>-3.0679031786916953E-5</v>
          </cell>
          <cell r="V53">
            <v>1.271668841863055E-6</v>
          </cell>
          <cell r="W53">
            <v>-5.0318385224544929E-6</v>
          </cell>
          <cell r="X53">
            <v>-2.0649256040348501E-5</v>
          </cell>
          <cell r="Y53">
            <v>2.384210916988962E-6</v>
          </cell>
          <cell r="Z53">
            <v>2.279705153634591E-7</v>
          </cell>
          <cell r="AA53">
            <v>4.1152672970325223E-6</v>
          </cell>
          <cell r="AB53">
            <v>1.8766190453343491E-5</v>
          </cell>
          <cell r="AC53">
            <v>3.5829417815171541E-6</v>
          </cell>
          <cell r="AD53">
            <v>-3.0757922635434278E-6</v>
          </cell>
          <cell r="AE53">
            <v>-4.4256720228726121E-7</v>
          </cell>
          <cell r="AF53">
            <v>-3.4235068043889859E-6</v>
          </cell>
          <cell r="AG53">
            <v>-5.032694328027896E-6</v>
          </cell>
          <cell r="AH53">
            <v>-6.8047394760212172E-6</v>
          </cell>
          <cell r="AI53">
            <v>-1.738056053301688E-5</v>
          </cell>
          <cell r="AJ53">
            <v>-1.253705789760417E-5</v>
          </cell>
          <cell r="AK53">
            <v>2.1425596453292581E-5</v>
          </cell>
          <cell r="AL53">
            <v>1.9025925502771831E-5</v>
          </cell>
          <cell r="AM53">
            <v>6.5879252136634105E-5</v>
          </cell>
          <cell r="AN53">
            <v>-4.6635198527062088E-7</v>
          </cell>
          <cell r="AO53">
            <v>3.0629492979680198E-5</v>
          </cell>
          <cell r="AP53">
            <v>8.7757154182690394E-8</v>
          </cell>
          <cell r="AQ53">
            <v>8.9156283976644597E-7</v>
          </cell>
          <cell r="AR53">
            <v>-1.014005223957799E-5</v>
          </cell>
          <cell r="AS53">
            <v>2.8799473693448279E-6</v>
          </cell>
          <cell r="AT53">
            <v>6.9273082532644893E-6</v>
          </cell>
          <cell r="AU53">
            <v>2.4379388523002911E-4</v>
          </cell>
          <cell r="AV53">
            <v>2.3428385573952851E-4</v>
          </cell>
          <cell r="AW53">
            <v>2.624855360458213E-4</v>
          </cell>
          <cell r="AX53">
            <v>3.258389975481617E-4</v>
          </cell>
          <cell r="AY53">
            <v>3.2221427383218601E-4</v>
          </cell>
          <cell r="AZ53">
            <v>4.4089696443620112E-4</v>
          </cell>
          <cell r="BA53">
            <v>3.363627873430492E-4</v>
          </cell>
          <cell r="BB53">
            <v>2.7619225540370098E-4</v>
          </cell>
          <cell r="BC53">
            <v>3.134653783115633E-4</v>
          </cell>
          <cell r="BD53">
            <v>2.248940965168546E-4</v>
          </cell>
          <cell r="BE53">
            <v>3.363627873430492E-4</v>
          </cell>
          <cell r="BF53">
            <v>-1.3829451506718439E-3</v>
          </cell>
          <cell r="BG53">
            <v>1.2306713952020651E-4</v>
          </cell>
          <cell r="BH53">
            <v>3.763802291183545E-4</v>
          </cell>
          <cell r="BI53">
            <v>3.6277190451020021E-4</v>
          </cell>
          <cell r="BJ53">
            <v>3.4830021431077823E-4</v>
          </cell>
          <cell r="BK53">
            <v>3.0675676960646139E-4</v>
          </cell>
          <cell r="BL53">
            <v>1.222404502682303E-4</v>
          </cell>
          <cell r="BM53">
            <v>4.1493039925611432E-4</v>
          </cell>
          <cell r="BN53">
            <v>3.4192565415292549E-4</v>
          </cell>
          <cell r="BO53">
            <v>2.8968777727275289E-4</v>
          </cell>
          <cell r="BP53">
            <v>2.276681562155393E-4</v>
          </cell>
          <cell r="BQ53">
            <v>2.276681562155393E-4</v>
          </cell>
          <cell r="BR53">
            <v>2.3519513217723679E-4</v>
          </cell>
          <cell r="BS53">
            <v>1.9161870650049451E-4</v>
          </cell>
          <cell r="BT53">
            <v>1.6123559819120471E-4</v>
          </cell>
          <cell r="BU53">
            <v>8.8117791831661326E-5</v>
          </cell>
          <cell r="BV53">
            <v>2.351662428858143E-4</v>
          </cell>
          <cell r="BW53">
            <v>2.4221513990635511E-4</v>
          </cell>
          <cell r="BX53">
            <v>3.9389085161284479E-4</v>
          </cell>
          <cell r="BY53">
            <v>-2.9665292544900879E-5</v>
          </cell>
          <cell r="BZ53">
            <v>5.2810419262976602E-5</v>
          </cell>
          <cell r="CA53">
            <v>1.1135003688261291E-6</v>
          </cell>
          <cell r="CB53">
            <v>1.2533982193116289E-4</v>
          </cell>
          <cell r="CC53">
            <v>4.3046811353358198E-5</v>
          </cell>
          <cell r="CD53">
            <v>2.185839191198197E-4</v>
          </cell>
          <cell r="CE53">
            <v>1.4949051066210221E-4</v>
          </cell>
        </row>
        <row r="54">
          <cell r="A54" t="str">
            <v>SXO1 Index</v>
          </cell>
          <cell r="B54">
            <v>1.143271988745418E-5</v>
          </cell>
          <cell r="C54">
            <v>-5.8055809597035393E-5</v>
          </cell>
          <cell r="D54">
            <v>-1.049697529682608E-4</v>
          </cell>
          <cell r="E54">
            <v>-4.4592185946878788E-5</v>
          </cell>
          <cell r="F54">
            <v>1.8519666204325952E-5</v>
          </cell>
          <cell r="G54">
            <v>-4.2672339290503842E-5</v>
          </cell>
          <cell r="H54">
            <v>2.195371731328347E-5</v>
          </cell>
          <cell r="I54">
            <v>-4.0279986927342998E-6</v>
          </cell>
          <cell r="J54">
            <v>-2.7941723879405401E-5</v>
          </cell>
          <cell r="K54">
            <v>-1.414741773253589E-5</v>
          </cell>
          <cell r="L54">
            <v>1.7816641644974051E-5</v>
          </cell>
          <cell r="M54">
            <v>-4.0659874692233382E-5</v>
          </cell>
          <cell r="N54">
            <v>-7.7706148586729229E-5</v>
          </cell>
          <cell r="O54">
            <v>-6.553800261030872E-5</v>
          </cell>
          <cell r="P54">
            <v>-7.5153695695224021E-5</v>
          </cell>
          <cell r="Q54">
            <v>-4.7897634707260341E-5</v>
          </cell>
          <cell r="R54">
            <v>-9.143397678548426E-5</v>
          </cell>
          <cell r="S54">
            <v>-1.0368928540380391E-4</v>
          </cell>
          <cell r="T54">
            <v>-8.2073535288020234E-5</v>
          </cell>
          <cell r="U54">
            <v>-4.0331659711710347E-5</v>
          </cell>
          <cell r="V54">
            <v>-5.6021537679262017E-6</v>
          </cell>
          <cell r="W54">
            <v>-1.273197071829314E-5</v>
          </cell>
          <cell r="X54">
            <v>-2.9527555687721769E-5</v>
          </cell>
          <cell r="Y54">
            <v>2.6217953974471531E-6</v>
          </cell>
          <cell r="Z54">
            <v>1.8713345801053379E-6</v>
          </cell>
          <cell r="AA54">
            <v>7.8019283451514677E-6</v>
          </cell>
          <cell r="AB54">
            <v>2.6166712872688099E-5</v>
          </cell>
          <cell r="AC54">
            <v>1.973267147385314E-5</v>
          </cell>
          <cell r="AD54">
            <v>-2.8703791580355162E-6</v>
          </cell>
          <cell r="AE54">
            <v>-2.524783259380242E-7</v>
          </cell>
          <cell r="AF54">
            <v>-3.2385717407958012E-6</v>
          </cell>
          <cell r="AG54">
            <v>-3.8505530521609866E-6</v>
          </cell>
          <cell r="AH54">
            <v>-3.8217053667513584E-6</v>
          </cell>
          <cell r="AI54">
            <v>-1.1319371340566409E-5</v>
          </cell>
          <cell r="AJ54">
            <v>-8.3535072286400758E-6</v>
          </cell>
          <cell r="AK54">
            <v>2.432587811237722E-5</v>
          </cell>
          <cell r="AL54">
            <v>1.8110409375479199E-5</v>
          </cell>
          <cell r="AM54">
            <v>6.365637267357199E-5</v>
          </cell>
          <cell r="AN54">
            <v>-6.0888794402260985E-7</v>
          </cell>
          <cell r="AO54">
            <v>2.9506839486550768E-5</v>
          </cell>
          <cell r="AP54">
            <v>5.375761055612294E-7</v>
          </cell>
          <cell r="AQ54">
            <v>1.5980311727502429E-6</v>
          </cell>
          <cell r="AR54">
            <v>-5.0817946491693784E-6</v>
          </cell>
          <cell r="AS54">
            <v>4.6447778011299114E-6</v>
          </cell>
          <cell r="AT54">
            <v>1.0619722600409319E-5</v>
          </cell>
          <cell r="AU54">
            <v>2.2144568075776921E-4</v>
          </cell>
          <cell r="AV54">
            <v>2.1280850494169459E-4</v>
          </cell>
          <cell r="AW54">
            <v>2.3319490378165709E-4</v>
          </cell>
          <cell r="AX54">
            <v>2.960671395570814E-4</v>
          </cell>
          <cell r="AY54">
            <v>2.7820786043520631E-4</v>
          </cell>
          <cell r="AZ54">
            <v>3.7708387159565248E-4</v>
          </cell>
          <cell r="BA54">
            <v>2.7619225540370098E-4</v>
          </cell>
          <cell r="BB54">
            <v>2.491706224219381E-4</v>
          </cell>
          <cell r="BC54">
            <v>2.7590299296090563E-4</v>
          </cell>
          <cell r="BD54">
            <v>2.0607508062515199E-4</v>
          </cell>
          <cell r="BE54">
            <v>2.7619225540370098E-4</v>
          </cell>
          <cell r="BF54">
            <v>-1.239877365333985E-3</v>
          </cell>
          <cell r="BG54">
            <v>1.198254579969922E-4</v>
          </cell>
          <cell r="BH54">
            <v>3.2906861075624659E-4</v>
          </cell>
          <cell r="BI54">
            <v>3.217730594534037E-4</v>
          </cell>
          <cell r="BJ54">
            <v>3.0536037963142972E-4</v>
          </cell>
          <cell r="BK54">
            <v>2.787181552671628E-4</v>
          </cell>
          <cell r="BL54">
            <v>1.216579646847624E-4</v>
          </cell>
          <cell r="BM54">
            <v>3.3827758716726229E-4</v>
          </cell>
          <cell r="BN54">
            <v>3.0317183203725791E-4</v>
          </cell>
          <cell r="BO54">
            <v>2.6020818621244542E-4</v>
          </cell>
          <cell r="BP54">
            <v>1.9614152506924819E-4</v>
          </cell>
          <cell r="BQ54">
            <v>1.9614152506924819E-4</v>
          </cell>
          <cell r="BR54">
            <v>2.029090860473005E-4</v>
          </cell>
          <cell r="BS54">
            <v>1.652929771436571E-4</v>
          </cell>
          <cell r="BT54">
            <v>1.4723042985641171E-4</v>
          </cell>
          <cell r="BU54">
            <v>8.5680075246401198E-5</v>
          </cell>
          <cell r="BV54">
            <v>2.0676696499694619E-4</v>
          </cell>
          <cell r="BW54">
            <v>2.1513689519165859E-4</v>
          </cell>
          <cell r="BX54">
            <v>3.3243315923841421E-4</v>
          </cell>
          <cell r="BY54">
            <v>-3.14231709964431E-5</v>
          </cell>
          <cell r="BZ54">
            <v>5.1251904240372569E-5</v>
          </cell>
          <cell r="CA54">
            <v>8.1090626786303386E-6</v>
          </cell>
          <cell r="CB54">
            <v>1.3167167263044701E-4</v>
          </cell>
          <cell r="CC54">
            <v>3.3535848919222133E-5</v>
          </cell>
          <cell r="CD54">
            <v>1.7457925161820241E-4</v>
          </cell>
          <cell r="CE54">
            <v>1.300510233912221E-4</v>
          </cell>
        </row>
        <row r="55">
          <cell r="A55" t="str">
            <v>CF1 Index</v>
          </cell>
          <cell r="B55">
            <v>1.663668009051873E-5</v>
          </cell>
          <cell r="C55">
            <v>-5.8786909932466733E-5</v>
          </cell>
          <cell r="D55">
            <v>-1.140614608606673E-4</v>
          </cell>
          <cell r="E55">
            <v>-4.7239147098006789E-5</v>
          </cell>
          <cell r="F55">
            <v>2.32093503748209E-5</v>
          </cell>
          <cell r="G55">
            <v>-4.439175231896473E-5</v>
          </cell>
          <cell r="H55">
            <v>3.0328547281007881E-5</v>
          </cell>
          <cell r="I55">
            <v>-7.1216496474222141E-7</v>
          </cell>
          <cell r="J55">
            <v>-3.1119284929628832E-5</v>
          </cell>
          <cell r="K55">
            <v>-1.293870295132978E-5</v>
          </cell>
          <cell r="L55">
            <v>2.237916209399776E-5</v>
          </cell>
          <cell r="M55">
            <v>-4.3021282802602103E-5</v>
          </cell>
          <cell r="N55">
            <v>-7.9168632149083566E-5</v>
          </cell>
          <cell r="O55">
            <v>-6.8423346864726224E-5</v>
          </cell>
          <cell r="P55">
            <v>-9.1411530602353839E-5</v>
          </cell>
          <cell r="Q55">
            <v>-5.2496598814675973E-5</v>
          </cell>
          <cell r="R55">
            <v>-9.7200470784879076E-5</v>
          </cell>
          <cell r="S55">
            <v>-1.114969353669418E-4</v>
          </cell>
          <cell r="T55">
            <v>-9.2391070364543799E-5</v>
          </cell>
          <cell r="U55">
            <v>-3.3954309810761742E-5</v>
          </cell>
          <cell r="V55">
            <v>-1.938363797982389E-6</v>
          </cell>
          <cell r="W55">
            <v>-1.040767056770735E-5</v>
          </cell>
          <cell r="X55">
            <v>-2.7995213422196879E-5</v>
          </cell>
          <cell r="Y55">
            <v>2.6528143662355671E-6</v>
          </cell>
          <cell r="Z55">
            <v>1.1668255506017249E-6</v>
          </cell>
          <cell r="AA55">
            <v>5.9370384645113469E-6</v>
          </cell>
          <cell r="AB55">
            <v>2.364980446203245E-5</v>
          </cell>
          <cell r="AC55">
            <v>1.060695820322539E-5</v>
          </cell>
          <cell r="AD55">
            <v>-3.428867646426515E-6</v>
          </cell>
          <cell r="AE55">
            <v>-4.655624346708541E-7</v>
          </cell>
          <cell r="AF55">
            <v>-3.4395485409838781E-6</v>
          </cell>
          <cell r="AG55">
            <v>-4.5897612928442346E-6</v>
          </cell>
          <cell r="AH55">
            <v>-5.5252759895936154E-6</v>
          </cell>
          <cell r="AI55">
            <v>-1.5569078784089109E-5</v>
          </cell>
          <cell r="AJ55">
            <v>-1.131850898788052E-5</v>
          </cell>
          <cell r="AK55">
            <v>2.336890316358912E-5</v>
          </cell>
          <cell r="AL55">
            <v>2.035962426080264E-5</v>
          </cell>
          <cell r="AM55">
            <v>6.9779818830014004E-5</v>
          </cell>
          <cell r="AN55">
            <v>-6.5176348185467068E-7</v>
          </cell>
          <cell r="AO55">
            <v>2.9515042013342628E-5</v>
          </cell>
          <cell r="AP55">
            <v>4.8467156533486418E-7</v>
          </cell>
          <cell r="AQ55">
            <v>1.3617574208178901E-6</v>
          </cell>
          <cell r="AR55">
            <v>-9.294358249522056E-6</v>
          </cell>
          <cell r="AS55">
            <v>4.2446888440745118E-6</v>
          </cell>
          <cell r="AT55">
            <v>7.8152070216715803E-6</v>
          </cell>
          <cell r="AU55">
            <v>2.3518416839812451E-4</v>
          </cell>
          <cell r="AV55">
            <v>2.2033158801515511E-4</v>
          </cell>
          <cell r="AW55">
            <v>2.5489420641138069E-4</v>
          </cell>
          <cell r="AX55">
            <v>3.2311278065893172E-4</v>
          </cell>
          <cell r="AY55">
            <v>3.2086052069064448E-4</v>
          </cell>
          <cell r="AZ55">
            <v>4.5995274706553738E-4</v>
          </cell>
          <cell r="BA55">
            <v>3.134653783115633E-4</v>
          </cell>
          <cell r="BB55">
            <v>2.7590299296090563E-4</v>
          </cell>
          <cell r="BC55">
            <v>3.3126729854799351E-4</v>
          </cell>
          <cell r="BD55">
            <v>2.332176323342563E-4</v>
          </cell>
          <cell r="BE55">
            <v>3.134653783115633E-4</v>
          </cell>
          <cell r="BF55">
            <v>-1.375779195273668E-3</v>
          </cell>
          <cell r="BG55">
            <v>1.162693191266704E-4</v>
          </cell>
          <cell r="BH55">
            <v>3.9490440469718729E-4</v>
          </cell>
          <cell r="BI55">
            <v>3.8471089389933771E-4</v>
          </cell>
          <cell r="BJ55">
            <v>3.4183210755405369E-4</v>
          </cell>
          <cell r="BK55">
            <v>3.0747879012829572E-4</v>
          </cell>
          <cell r="BL55">
            <v>7.6038598283495993E-5</v>
          </cell>
          <cell r="BM55">
            <v>4.0053160128275539E-4</v>
          </cell>
          <cell r="BN55">
            <v>3.397652505962303E-4</v>
          </cell>
          <cell r="BO55">
            <v>3.0238728075966187E-4</v>
          </cell>
          <cell r="BP55">
            <v>2.265720838550768E-4</v>
          </cell>
          <cell r="BQ55">
            <v>2.265720838550768E-4</v>
          </cell>
          <cell r="BR55">
            <v>2.3282294303379969E-4</v>
          </cell>
          <cell r="BS55">
            <v>1.8923933811065691E-4</v>
          </cell>
          <cell r="BT55">
            <v>1.6504746281647509E-4</v>
          </cell>
          <cell r="BU55">
            <v>9.3988369835983489E-5</v>
          </cell>
          <cell r="BV55">
            <v>2.266395226498205E-4</v>
          </cell>
          <cell r="BW55">
            <v>2.3694331666668209E-4</v>
          </cell>
          <cell r="BX55">
            <v>3.808946806298376E-4</v>
          </cell>
          <cell r="BY55">
            <v>-3.3663519836928507E-5</v>
          </cell>
          <cell r="BZ55">
            <v>6.5811435089352808E-5</v>
          </cell>
          <cell r="CA55">
            <v>1.0044120986565149E-5</v>
          </cell>
          <cell r="CB55">
            <v>1.061698483386197E-4</v>
          </cell>
          <cell r="CC55">
            <v>3.5942642435139187E-5</v>
          </cell>
          <cell r="CD55">
            <v>1.969619330562713E-4</v>
          </cell>
          <cell r="CE55">
            <v>1.4827620810079709E-4</v>
          </cell>
        </row>
        <row r="56">
          <cell r="A56" t="str">
            <v>Z 1 Index</v>
          </cell>
          <cell r="B56">
            <v>9.0092096433577321E-6</v>
          </cell>
          <cell r="C56">
            <v>-3.5554461769546468E-5</v>
          </cell>
          <cell r="D56">
            <v>-9.0979147365759025E-5</v>
          </cell>
          <cell r="E56">
            <v>-3.4017484219520698E-5</v>
          </cell>
          <cell r="F56">
            <v>1.3839121893939499E-5</v>
          </cell>
          <cell r="G56">
            <v>-3.4733149977220883E-5</v>
          </cell>
          <cell r="H56">
            <v>2.118615305805191E-5</v>
          </cell>
          <cell r="I56">
            <v>-2.818846970345708E-6</v>
          </cell>
          <cell r="J56">
            <v>-2.670672297039654E-5</v>
          </cell>
          <cell r="K56">
            <v>-1.315669288470741E-5</v>
          </cell>
          <cell r="L56">
            <v>1.327577436375299E-5</v>
          </cell>
          <cell r="M56">
            <v>-3.7786065743943303E-5</v>
          </cell>
          <cell r="N56">
            <v>-6.7867543487477535E-5</v>
          </cell>
          <cell r="O56">
            <v>-5.3589124694000627E-5</v>
          </cell>
          <cell r="P56">
            <v>-8.1576809203164809E-5</v>
          </cell>
          <cell r="Q56">
            <v>-5.1075899787125811E-5</v>
          </cell>
          <cell r="R56">
            <v>-9.149293427998306E-5</v>
          </cell>
          <cell r="S56">
            <v>-9.4921856802417733E-5</v>
          </cell>
          <cell r="T56">
            <v>-7.6832933659091757E-5</v>
          </cell>
          <cell r="U56">
            <v>-3.9248177831170722E-5</v>
          </cell>
          <cell r="V56">
            <v>-6.507442761734786E-6</v>
          </cell>
          <cell r="W56">
            <v>-1.332060047533508E-5</v>
          </cell>
          <cell r="X56">
            <v>-2.3909010325619152E-5</v>
          </cell>
          <cell r="Y56">
            <v>1.47980470052943E-6</v>
          </cell>
          <cell r="Z56">
            <v>-5.660611248548152E-8</v>
          </cell>
          <cell r="AA56">
            <v>1.573981999043897E-6</v>
          </cell>
          <cell r="AB56">
            <v>1.2948808258320171E-5</v>
          </cell>
          <cell r="AC56">
            <v>-2.6506851637852372E-6</v>
          </cell>
          <cell r="AD56">
            <v>-2.9040323754969029E-6</v>
          </cell>
          <cell r="AE56">
            <v>-1.0482501789161939E-6</v>
          </cell>
          <cell r="AF56">
            <v>-4.2631790687846676E-6</v>
          </cell>
          <cell r="AG56">
            <v>-7.1997855563183037E-6</v>
          </cell>
          <cell r="AH56">
            <v>-9.5665181746926577E-6</v>
          </cell>
          <cell r="AI56">
            <v>-2.116357641850258E-5</v>
          </cell>
          <cell r="AJ56">
            <v>-2.2497659032468719E-5</v>
          </cell>
          <cell r="AK56">
            <v>1.0870048069573051E-5</v>
          </cell>
          <cell r="AL56">
            <v>1.2745822933600141E-5</v>
          </cell>
          <cell r="AM56">
            <v>4.084987322070263E-5</v>
          </cell>
          <cell r="AN56">
            <v>-5.006623103887842E-7</v>
          </cell>
          <cell r="AO56">
            <v>1.6034528052606642E-5</v>
          </cell>
          <cell r="AP56">
            <v>-6.007933121115226E-7</v>
          </cell>
          <cell r="AQ56">
            <v>-1.4772707589682931E-8</v>
          </cell>
          <cell r="AR56">
            <v>-1.397709313436125E-5</v>
          </cell>
          <cell r="AS56">
            <v>1.9561290010430342E-6</v>
          </cell>
          <cell r="AT56">
            <v>1.98338261391778E-6</v>
          </cell>
          <cell r="AU56">
            <v>1.722686774080284E-4</v>
          </cell>
          <cell r="AV56">
            <v>1.5105713066639851E-4</v>
          </cell>
          <cell r="AW56">
            <v>1.8723161067473091E-4</v>
          </cell>
          <cell r="AX56">
            <v>2.4479710953457742E-4</v>
          </cell>
          <cell r="AY56">
            <v>2.296541157750554E-4</v>
          </cell>
          <cell r="AZ56">
            <v>3.3188631224283531E-4</v>
          </cell>
          <cell r="BA56">
            <v>2.248940965168546E-4</v>
          </cell>
          <cell r="BB56">
            <v>2.0607508062515199E-4</v>
          </cell>
          <cell r="BC56">
            <v>2.332176323342563E-4</v>
          </cell>
          <cell r="BD56">
            <v>2.0185734226315031E-4</v>
          </cell>
          <cell r="BE56">
            <v>2.248940965168546E-4</v>
          </cell>
          <cell r="BF56">
            <v>-1.06412710976732E-3</v>
          </cell>
          <cell r="BG56">
            <v>1.177075076611342E-4</v>
          </cell>
          <cell r="BH56">
            <v>2.9413690046415991E-4</v>
          </cell>
          <cell r="BI56">
            <v>3.1550131984025529E-4</v>
          </cell>
          <cell r="BJ56">
            <v>2.4357046992306541E-4</v>
          </cell>
          <cell r="BK56">
            <v>2.1311841890334779E-4</v>
          </cell>
          <cell r="BL56">
            <v>1.0943046233161721E-4</v>
          </cell>
          <cell r="BM56">
            <v>2.8205275211119529E-4</v>
          </cell>
          <cell r="BN56">
            <v>2.7991247976377742E-4</v>
          </cell>
          <cell r="BO56">
            <v>2.290174540113325E-4</v>
          </cell>
          <cell r="BP56">
            <v>1.6597191850498529E-4</v>
          </cell>
          <cell r="BQ56">
            <v>1.6597191850498529E-4</v>
          </cell>
          <cell r="BR56">
            <v>1.7144151267909971E-4</v>
          </cell>
          <cell r="BS56">
            <v>1.4042670349519889E-4</v>
          </cell>
          <cell r="BT56">
            <v>1.34595434565056E-4</v>
          </cell>
          <cell r="BU56">
            <v>7.715485961402715E-5</v>
          </cell>
          <cell r="BV56">
            <v>1.7290500295848339E-4</v>
          </cell>
          <cell r="BW56">
            <v>1.7963012762489621E-4</v>
          </cell>
          <cell r="BX56">
            <v>3.1765497274733923E-4</v>
          </cell>
          <cell r="BY56">
            <v>-6.4055695160459381E-6</v>
          </cell>
          <cell r="BZ56">
            <v>6.0211328716423198E-5</v>
          </cell>
          <cell r="CA56">
            <v>3.3809782721336829E-5</v>
          </cell>
          <cell r="CB56">
            <v>1.014606142833418E-4</v>
          </cell>
          <cell r="CC56">
            <v>2.5381229191980939E-5</v>
          </cell>
          <cell r="CD56">
            <v>1.4330182155638369E-4</v>
          </cell>
          <cell r="CE56">
            <v>1.20795020079448E-4</v>
          </cell>
        </row>
        <row r="57">
          <cell r="A57" t="str">
            <v>DFW1 Index</v>
          </cell>
          <cell r="B57">
            <v>2.1911818674124471E-5</v>
          </cell>
          <cell r="C57">
            <v>-5.7387229259327673E-5</v>
          </cell>
          <cell r="D57">
            <v>-1.1037630874163361E-4</v>
          </cell>
          <cell r="E57">
            <v>-4.9083629691961318E-5</v>
          </cell>
          <cell r="F57">
            <v>2.8192913693783279E-5</v>
          </cell>
          <cell r="G57">
            <v>-3.757667181519845E-5</v>
          </cell>
          <cell r="H57">
            <v>3.4073740161202907E-5</v>
          </cell>
          <cell r="I57">
            <v>7.1894611915774866E-6</v>
          </cell>
          <cell r="J57">
            <v>-2.4739458470872609E-5</v>
          </cell>
          <cell r="K57">
            <v>-9.6572285405445594E-6</v>
          </cell>
          <cell r="L57">
            <v>2.726997166085095E-5</v>
          </cell>
          <cell r="M57">
            <v>-3.8861155554599908E-5</v>
          </cell>
          <cell r="N57">
            <v>-8.1307734887686389E-5</v>
          </cell>
          <cell r="O57">
            <v>-6.5105375337059753E-5</v>
          </cell>
          <cell r="P57">
            <v>-7.6541329194321851E-5</v>
          </cell>
          <cell r="Q57">
            <v>-5.6952913836241507E-5</v>
          </cell>
          <cell r="R57">
            <v>-9.6079327443064944E-5</v>
          </cell>
          <cell r="S57">
            <v>-1.09145053454658E-4</v>
          </cell>
          <cell r="T57">
            <v>-8.7478140657886846E-5</v>
          </cell>
          <cell r="U57">
            <v>-3.0679031786916953E-5</v>
          </cell>
          <cell r="V57">
            <v>1.271668841863055E-6</v>
          </cell>
          <cell r="W57">
            <v>-5.0318385224544929E-6</v>
          </cell>
          <cell r="X57">
            <v>-2.0649256040348501E-5</v>
          </cell>
          <cell r="Y57">
            <v>2.384210916988962E-6</v>
          </cell>
          <cell r="Z57">
            <v>2.279705153634591E-7</v>
          </cell>
          <cell r="AA57">
            <v>4.1152672970325223E-6</v>
          </cell>
          <cell r="AB57">
            <v>1.8766190453343491E-5</v>
          </cell>
          <cell r="AC57">
            <v>3.5829417815171541E-6</v>
          </cell>
          <cell r="AD57">
            <v>-3.0757922635434278E-6</v>
          </cell>
          <cell r="AE57">
            <v>-4.4256720228726121E-7</v>
          </cell>
          <cell r="AF57">
            <v>-3.4235068043889859E-6</v>
          </cell>
          <cell r="AG57">
            <v>-5.032694328027896E-6</v>
          </cell>
          <cell r="AH57">
            <v>-6.8047394760212172E-6</v>
          </cell>
          <cell r="AI57">
            <v>-1.738056053301688E-5</v>
          </cell>
          <cell r="AJ57">
            <v>-1.253705789760417E-5</v>
          </cell>
          <cell r="AK57">
            <v>2.1425596453292581E-5</v>
          </cell>
          <cell r="AL57">
            <v>1.9025925502771831E-5</v>
          </cell>
          <cell r="AM57">
            <v>6.5879252136634105E-5</v>
          </cell>
          <cell r="AN57">
            <v>-4.6635198527062088E-7</v>
          </cell>
          <cell r="AO57">
            <v>3.0629492979680198E-5</v>
          </cell>
          <cell r="AP57">
            <v>8.7757154182690394E-8</v>
          </cell>
          <cell r="AQ57">
            <v>8.9156283976644597E-7</v>
          </cell>
          <cell r="AR57">
            <v>-1.014005223957799E-5</v>
          </cell>
          <cell r="AS57">
            <v>2.8799473693448279E-6</v>
          </cell>
          <cell r="AT57">
            <v>6.9273082532644893E-6</v>
          </cell>
          <cell r="AU57">
            <v>2.4379388523002911E-4</v>
          </cell>
          <cell r="AV57">
            <v>2.3428385573952851E-4</v>
          </cell>
          <cell r="AW57">
            <v>2.624855360458213E-4</v>
          </cell>
          <cell r="AX57">
            <v>3.258389975481617E-4</v>
          </cell>
          <cell r="AY57">
            <v>3.2221427383218601E-4</v>
          </cell>
          <cell r="AZ57">
            <v>4.4089696443620112E-4</v>
          </cell>
          <cell r="BA57">
            <v>3.363627873430492E-4</v>
          </cell>
          <cell r="BB57">
            <v>2.7619225540370098E-4</v>
          </cell>
          <cell r="BC57">
            <v>3.134653783115633E-4</v>
          </cell>
          <cell r="BD57">
            <v>2.248940965168546E-4</v>
          </cell>
          <cell r="BE57">
            <v>3.363627873430492E-4</v>
          </cell>
          <cell r="BF57">
            <v>-1.3829451506718439E-3</v>
          </cell>
          <cell r="BG57">
            <v>1.2306713952020651E-4</v>
          </cell>
          <cell r="BH57">
            <v>3.763802291183545E-4</v>
          </cell>
          <cell r="BI57">
            <v>3.6277190451020021E-4</v>
          </cell>
          <cell r="BJ57">
            <v>3.4830021431077823E-4</v>
          </cell>
          <cell r="BK57">
            <v>3.0675676960646139E-4</v>
          </cell>
          <cell r="BL57">
            <v>1.222404502682303E-4</v>
          </cell>
          <cell r="BM57">
            <v>4.1493039925611432E-4</v>
          </cell>
          <cell r="BN57">
            <v>3.4192565415292549E-4</v>
          </cell>
          <cell r="BO57">
            <v>2.8968777727275289E-4</v>
          </cell>
          <cell r="BP57">
            <v>2.276681562155393E-4</v>
          </cell>
          <cell r="BQ57">
            <v>2.276681562155393E-4</v>
          </cell>
          <cell r="BR57">
            <v>2.3519513217723679E-4</v>
          </cell>
          <cell r="BS57">
            <v>1.9161870650049451E-4</v>
          </cell>
          <cell r="BT57">
            <v>1.6123559819120471E-4</v>
          </cell>
          <cell r="BU57">
            <v>8.8117791831661326E-5</v>
          </cell>
          <cell r="BV57">
            <v>2.351662428858143E-4</v>
          </cell>
          <cell r="BW57">
            <v>2.4221513990635511E-4</v>
          </cell>
          <cell r="BX57">
            <v>3.9389085161284479E-4</v>
          </cell>
          <cell r="BY57">
            <v>-2.9665292544900879E-5</v>
          </cell>
          <cell r="BZ57">
            <v>5.2810419262976602E-5</v>
          </cell>
          <cell r="CA57">
            <v>1.1135003688261291E-6</v>
          </cell>
          <cell r="CB57">
            <v>1.2533982193116289E-4</v>
          </cell>
          <cell r="CC57">
            <v>4.3046811353358198E-5</v>
          </cell>
          <cell r="CD57">
            <v>2.185839191198197E-4</v>
          </cell>
          <cell r="CE57">
            <v>1.4949051066210221E-4</v>
          </cell>
        </row>
        <row r="58">
          <cell r="A58" t="str">
            <v>FVS1 Index</v>
          </cell>
          <cell r="B58">
            <v>-6.8449318762041348E-5</v>
          </cell>
          <cell r="C58">
            <v>2.8614572205220038E-4</v>
          </cell>
          <cell r="D58">
            <v>5.7122823363331301E-4</v>
          </cell>
          <cell r="E58">
            <v>2.3014886078666361E-4</v>
          </cell>
          <cell r="F58">
            <v>-6.8222528246257255E-5</v>
          </cell>
          <cell r="G58">
            <v>2.014778977124421E-4</v>
          </cell>
          <cell r="H58">
            <v>-1.5650885603508169E-4</v>
          </cell>
          <cell r="I58">
            <v>2.4976565408337038E-5</v>
          </cell>
          <cell r="J58">
            <v>1.639444136724176E-4</v>
          </cell>
          <cell r="K58">
            <v>9.612011030635149E-5</v>
          </cell>
          <cell r="L58">
            <v>-6.4564291162231519E-5</v>
          </cell>
          <cell r="M58">
            <v>2.31482435882381E-4</v>
          </cell>
          <cell r="N58">
            <v>4.0426208591774689E-4</v>
          </cell>
          <cell r="O58">
            <v>3.1520019944497851E-4</v>
          </cell>
          <cell r="P58">
            <v>3.823635868180097E-4</v>
          </cell>
          <cell r="Q58">
            <v>2.4753308998415557E-4</v>
          </cell>
          <cell r="R58">
            <v>5.365913707362903E-4</v>
          </cell>
          <cell r="S58">
            <v>6.6806387368490588E-4</v>
          </cell>
          <cell r="T58">
            <v>4.9586827300647583E-4</v>
          </cell>
          <cell r="U58">
            <v>2.3329564524615399E-4</v>
          </cell>
          <cell r="V58">
            <v>5.3561274810543561E-5</v>
          </cell>
          <cell r="W58">
            <v>8.8744483377091042E-5</v>
          </cell>
          <cell r="X58">
            <v>2.2244425715745351E-4</v>
          </cell>
          <cell r="Y58">
            <v>-4.9079007707148764E-6</v>
          </cell>
          <cell r="Z58">
            <v>5.2357533085238657E-6</v>
          </cell>
          <cell r="AA58">
            <v>-1.2901932874385431E-6</v>
          </cell>
          <cell r="AB58">
            <v>-5.8382215011218097E-5</v>
          </cell>
          <cell r="AC58">
            <v>7.6493077522166815E-5</v>
          </cell>
          <cell r="AD58">
            <v>2.3510997245867872E-5</v>
          </cell>
          <cell r="AE58">
            <v>1.5016051352463639E-5</v>
          </cell>
          <cell r="AF58">
            <v>3.180223708341924E-5</v>
          </cell>
          <cell r="AG58">
            <v>5.8258398538707017E-5</v>
          </cell>
          <cell r="AH58">
            <v>7.7709439285281434E-5</v>
          </cell>
          <cell r="AI58">
            <v>1.6107832500224109E-4</v>
          </cell>
          <cell r="AJ58">
            <v>1.8181079375410739E-4</v>
          </cell>
          <cell r="AK58">
            <v>-6.1004935234360781E-5</v>
          </cell>
          <cell r="AL58">
            <v>-8.6140938321649165E-5</v>
          </cell>
          <cell r="AM58">
            <v>-2.7295327852437651E-4</v>
          </cell>
          <cell r="AN58">
            <v>4.8781070643919469E-6</v>
          </cell>
          <cell r="AO58">
            <v>-4.0939187393612193E-5</v>
          </cell>
          <cell r="AP58">
            <v>5.7515261914493592E-6</v>
          </cell>
          <cell r="AQ58">
            <v>5.1562398774690896E-7</v>
          </cell>
          <cell r="AR58">
            <v>8.8941695911455538E-5</v>
          </cell>
          <cell r="AS58">
            <v>-1.063406793458624E-5</v>
          </cell>
          <cell r="AT58">
            <v>-9.2407174133047538E-6</v>
          </cell>
          <cell r="AU58">
            <v>-1.083452925171262E-3</v>
          </cell>
          <cell r="AV58">
            <v>-1.008646507011469E-3</v>
          </cell>
          <cell r="AW58">
            <v>-1.169537735423906E-3</v>
          </cell>
          <cell r="AX58">
            <v>-1.5153001792593871E-3</v>
          </cell>
          <cell r="AY58">
            <v>-1.381923938121964E-3</v>
          </cell>
          <cell r="AZ58">
            <v>-2.027246811989084E-3</v>
          </cell>
          <cell r="BA58">
            <v>-1.3829451506718439E-3</v>
          </cell>
          <cell r="BB58">
            <v>-1.239877365333985E-3</v>
          </cell>
          <cell r="BC58">
            <v>-1.375779195273668E-3</v>
          </cell>
          <cell r="BD58">
            <v>-1.06412710976732E-3</v>
          </cell>
          <cell r="BE58">
            <v>-1.3829451506718439E-3</v>
          </cell>
          <cell r="BF58">
            <v>8.3251188052331157E-3</v>
          </cell>
          <cell r="BG58">
            <v>-7.7690619758459957E-4</v>
          </cell>
          <cell r="BH58">
            <v>-1.762195797125433E-3</v>
          </cell>
          <cell r="BI58">
            <v>-1.703509637065488E-3</v>
          </cell>
          <cell r="BJ58">
            <v>-1.5174011760407361E-3</v>
          </cell>
          <cell r="BK58">
            <v>-1.256378020936657E-3</v>
          </cell>
          <cell r="BL58">
            <v>-5.915696617516626E-4</v>
          </cell>
          <cell r="BM58">
            <v>-1.779615691623773E-3</v>
          </cell>
          <cell r="BN58">
            <v>-1.498494470377212E-3</v>
          </cell>
          <cell r="BO58">
            <v>-1.3089589836263499E-3</v>
          </cell>
          <cell r="BP58">
            <v>-1.0489310096139109E-3</v>
          </cell>
          <cell r="BQ58">
            <v>-1.0489310096139109E-3</v>
          </cell>
          <cell r="BR58">
            <v>-1.0660298444242699E-3</v>
          </cell>
          <cell r="BS58">
            <v>-8.9656198053846448E-4</v>
          </cell>
          <cell r="BT58">
            <v>-8.4780992793569111E-4</v>
          </cell>
          <cell r="BU58">
            <v>-5.0929946580563414E-4</v>
          </cell>
          <cell r="BV58">
            <v>-1.0480518123614671E-3</v>
          </cell>
          <cell r="BW58">
            <v>-1.133511145276852E-3</v>
          </cell>
          <cell r="BX58">
            <v>-1.9941551647401682E-3</v>
          </cell>
          <cell r="BY58">
            <v>1.428948430741911E-4</v>
          </cell>
          <cell r="BZ58">
            <v>-1.776570191744714E-4</v>
          </cell>
          <cell r="CA58">
            <v>-1.0782118490164841E-4</v>
          </cell>
          <cell r="CB58">
            <v>-6.7835443095718383E-4</v>
          </cell>
          <cell r="CC58">
            <v>-1.4087474038015381E-4</v>
          </cell>
          <cell r="CD58">
            <v>-9.4727133930292676E-4</v>
          </cell>
          <cell r="CE58">
            <v>-6.5782523846928383E-4</v>
          </cell>
        </row>
        <row r="59">
          <cell r="A59" t="str">
            <v>DED1 Index</v>
          </cell>
          <cell r="B59">
            <v>4.6983098538050646E-6</v>
          </cell>
          <cell r="C59">
            <v>-1.8919022605054852E-5</v>
          </cell>
          <cell r="D59">
            <v>-7.0270339807882912E-5</v>
          </cell>
          <cell r="E59">
            <v>-2.7019734719207931E-5</v>
          </cell>
          <cell r="F59">
            <v>1.0678743219814759E-5</v>
          </cell>
          <cell r="G59">
            <v>-6.7899503336061592E-6</v>
          </cell>
          <cell r="H59">
            <v>6.6205296079061244E-6</v>
          </cell>
          <cell r="I59">
            <v>-2.167403087358212E-6</v>
          </cell>
          <cell r="J59">
            <v>-6.3253362082602444E-6</v>
          </cell>
          <cell r="K59">
            <v>-1.406024097584443E-5</v>
          </cell>
          <cell r="L59">
            <v>1.249528237830756E-5</v>
          </cell>
          <cell r="M59">
            <v>-2.1927560315890211E-5</v>
          </cell>
          <cell r="N59">
            <v>-5.3405360466894243E-5</v>
          </cell>
          <cell r="O59">
            <v>-3.495338654775114E-5</v>
          </cell>
          <cell r="P59">
            <v>-5.1901975566629938E-5</v>
          </cell>
          <cell r="Q59">
            <v>-3.2467676902532838E-5</v>
          </cell>
          <cell r="R59">
            <v>-6.3796938265417994E-5</v>
          </cell>
          <cell r="S59">
            <v>-1.176888780773737E-4</v>
          </cell>
          <cell r="T59">
            <v>-1.012906072289228E-4</v>
          </cell>
          <cell r="U59">
            <v>-1.034790500110223E-4</v>
          </cell>
          <cell r="V59">
            <v>-2.025950299868742E-5</v>
          </cell>
          <cell r="W59">
            <v>-1.298463744311072E-5</v>
          </cell>
          <cell r="X59">
            <v>-6.0501024415381821E-5</v>
          </cell>
          <cell r="Y59">
            <v>2.3224156809344739E-7</v>
          </cell>
          <cell r="Z59">
            <v>2.41972518800537E-7</v>
          </cell>
          <cell r="AA59">
            <v>-1.3770914492721571E-6</v>
          </cell>
          <cell r="AB59">
            <v>5.0707363162339611E-6</v>
          </cell>
          <cell r="AC59">
            <v>-2.97215266362607E-6</v>
          </cell>
          <cell r="AD59">
            <v>-5.7150892707743033E-6</v>
          </cell>
          <cell r="AE59">
            <v>-3.2313937995296329E-6</v>
          </cell>
          <cell r="AF59">
            <v>-6.2612108959028436E-6</v>
          </cell>
          <cell r="AG59">
            <v>-1.7162454452108011E-5</v>
          </cell>
          <cell r="AH59">
            <v>-2.314250310272396E-5</v>
          </cell>
          <cell r="AI59">
            <v>-4.3890366953797963E-5</v>
          </cell>
          <cell r="AJ59">
            <v>-8.3072076043331239E-5</v>
          </cell>
          <cell r="AK59">
            <v>-2.8638444705149411E-6</v>
          </cell>
          <cell r="AL59">
            <v>2.1390086669001428E-6</v>
          </cell>
          <cell r="AM59">
            <v>-1.009758161166145E-7</v>
          </cell>
          <cell r="AN59">
            <v>-1.241271755119063E-6</v>
          </cell>
          <cell r="AO59">
            <v>-1.515152729836232E-5</v>
          </cell>
          <cell r="AP59">
            <v>-2.4812524648101661E-6</v>
          </cell>
          <cell r="AQ59">
            <v>-2.2105256693409529E-6</v>
          </cell>
          <cell r="AR59">
            <v>-1.649115627231399E-5</v>
          </cell>
          <cell r="AS59">
            <v>1.8021041295886241E-6</v>
          </cell>
          <cell r="AT59">
            <v>6.8855278059392007E-6</v>
          </cell>
          <cell r="AU59">
            <v>1.288479730916377E-4</v>
          </cell>
          <cell r="AV59">
            <v>9.7005331604326216E-5</v>
          </cell>
          <cell r="AW59">
            <v>1.3373543049997199E-4</v>
          </cell>
          <cell r="AX59">
            <v>1.8228733111605471E-4</v>
          </cell>
          <cell r="AY59">
            <v>1.257665556342128E-4</v>
          </cell>
          <cell r="AZ59">
            <v>2.6017794671728459E-4</v>
          </cell>
          <cell r="BA59">
            <v>1.2306713952020651E-4</v>
          </cell>
          <cell r="BB59">
            <v>1.198254579969922E-4</v>
          </cell>
          <cell r="BC59">
            <v>1.162693191266704E-4</v>
          </cell>
          <cell r="BD59">
            <v>1.177075076611342E-4</v>
          </cell>
          <cell r="BE59">
            <v>1.2306713952020651E-4</v>
          </cell>
          <cell r="BF59">
            <v>-7.7690619758459957E-4</v>
          </cell>
          <cell r="BG59">
            <v>5.5426817415400026E-4</v>
          </cell>
          <cell r="BH59">
            <v>2.3383296626351311E-4</v>
          </cell>
          <cell r="BI59">
            <v>2.9948260813070219E-5</v>
          </cell>
          <cell r="BJ59">
            <v>1.5632811572649619E-4</v>
          </cell>
          <cell r="BK59">
            <v>1.3212112472860111E-4</v>
          </cell>
          <cell r="BL59">
            <v>9.5353934850644743E-4</v>
          </cell>
          <cell r="BM59">
            <v>1.8254042057490091E-4</v>
          </cell>
          <cell r="BN59">
            <v>1.1702826805332961E-4</v>
          </cell>
          <cell r="BO59">
            <v>1.4309294373782901E-4</v>
          </cell>
          <cell r="BP59">
            <v>8.465488828202734E-5</v>
          </cell>
          <cell r="BQ59">
            <v>8.465488828202734E-5</v>
          </cell>
          <cell r="BR59">
            <v>8.5536280506793956E-5</v>
          </cell>
          <cell r="BS59">
            <v>6.7567320272835432E-5</v>
          </cell>
          <cell r="BT59">
            <v>7.8699514342746413E-5</v>
          </cell>
          <cell r="BU59">
            <v>5.5207095507876783E-5</v>
          </cell>
          <cell r="BV59">
            <v>1.092242282845981E-4</v>
          </cell>
          <cell r="BW59">
            <v>1.3223596622142521E-4</v>
          </cell>
          <cell r="BX59">
            <v>4.6617825785363599E-4</v>
          </cell>
          <cell r="BY59">
            <v>-6.0486765429987293E-5</v>
          </cell>
          <cell r="BZ59">
            <v>2.8691000745852439E-5</v>
          </cell>
          <cell r="CA59">
            <v>7.6442269098016044E-5</v>
          </cell>
          <cell r="CB59">
            <v>8.9555469345615967E-5</v>
          </cell>
          <cell r="CC59">
            <v>6.8379667203398847E-6</v>
          </cell>
          <cell r="CD59">
            <v>7.5072402657202274E-5</v>
          </cell>
          <cell r="CE59">
            <v>1.210619497473524E-4</v>
          </cell>
        </row>
        <row r="60">
          <cell r="A60" t="str">
            <v>BJ1 Index</v>
          </cell>
          <cell r="B60">
            <v>3.209005153934936E-5</v>
          </cell>
          <cell r="C60">
            <v>-7.3856510144431763E-5</v>
          </cell>
          <cell r="D60">
            <v>-1.3745234912634639E-4</v>
          </cell>
          <cell r="E60">
            <v>-5.8558001760544697E-5</v>
          </cell>
          <cell r="F60">
            <v>3.4621995071784492E-5</v>
          </cell>
          <cell r="G60">
            <v>-3.3668083440620817E-5</v>
          </cell>
          <cell r="H60">
            <v>5.5852943224114082E-5</v>
          </cell>
          <cell r="I60">
            <v>1.7832181047669771E-6</v>
          </cell>
          <cell r="J60">
            <v>-3.1762429552051933E-5</v>
          </cell>
          <cell r="K60">
            <v>-1.2868951816683559E-5</v>
          </cell>
          <cell r="L60">
            <v>3.377442244142975E-5</v>
          </cell>
          <cell r="M60">
            <v>-5.3335259471213392E-5</v>
          </cell>
          <cell r="N60">
            <v>-9.0366293284501443E-5</v>
          </cell>
          <cell r="O60">
            <v>-7.8634302964018557E-5</v>
          </cell>
          <cell r="P60">
            <v>-1.3482986095765911E-4</v>
          </cell>
          <cell r="Q60">
            <v>-7.5541382377340878E-5</v>
          </cell>
          <cell r="R60">
            <v>-1.3236182144154779E-4</v>
          </cell>
          <cell r="S60">
            <v>-1.5700537111019541E-4</v>
          </cell>
          <cell r="T60">
            <v>-1.5369890519666249E-4</v>
          </cell>
          <cell r="U60">
            <v>-5.0456305311311693E-5</v>
          </cell>
          <cell r="V60">
            <v>-2.2064395331458369E-6</v>
          </cell>
          <cell r="W60">
            <v>-4.1290703608790449E-6</v>
          </cell>
          <cell r="X60">
            <v>-4.8993415368349853E-5</v>
          </cell>
          <cell r="Y60">
            <v>1.3842648799981701E-6</v>
          </cell>
          <cell r="Z60">
            <v>-3.7706864924387231E-6</v>
          </cell>
          <cell r="AA60">
            <v>-8.2841199057527282E-6</v>
          </cell>
          <cell r="AB60">
            <v>-5.3205392148404577E-6</v>
          </cell>
          <cell r="AC60">
            <v>-5.3198575611203553E-5</v>
          </cell>
          <cell r="AD60">
            <v>-5.3985633213348242E-6</v>
          </cell>
          <cell r="AE60">
            <v>-2.796528491662879E-6</v>
          </cell>
          <cell r="AF60">
            <v>-8.6860874116745592E-6</v>
          </cell>
          <cell r="AG60">
            <v>-2.116286090228629E-5</v>
          </cell>
          <cell r="AH60">
            <v>-3.3162840007187647E-5</v>
          </cell>
          <cell r="AI60">
            <v>-7.1390187403917125E-5</v>
          </cell>
          <cell r="AJ60">
            <v>-9.5785741287557222E-5</v>
          </cell>
          <cell r="AK60">
            <v>-1.2348489122546329E-6</v>
          </cell>
          <cell r="AL60">
            <v>1.748422400989448E-5</v>
          </cell>
          <cell r="AM60">
            <v>5.1117512539372548E-5</v>
          </cell>
          <cell r="AN60">
            <v>-1.65698050226365E-6</v>
          </cell>
          <cell r="AO60">
            <v>-3.7298797349808739E-6</v>
          </cell>
          <cell r="AP60">
            <v>-2.3339858606151242E-6</v>
          </cell>
          <cell r="AQ60">
            <v>-2.9991025562233458E-6</v>
          </cell>
          <cell r="AR60">
            <v>-4.2619296550085249E-5</v>
          </cell>
          <cell r="AS60">
            <v>-3.6430814457358029E-6</v>
          </cell>
          <cell r="AT60">
            <v>-1.376147637530954E-5</v>
          </cell>
          <cell r="AU60">
            <v>2.5945814567746272E-4</v>
          </cell>
          <cell r="AV60">
            <v>2.0367033663966171E-4</v>
          </cell>
          <cell r="AW60">
            <v>2.9805888497421752E-4</v>
          </cell>
          <cell r="AX60">
            <v>3.9288957279230631E-4</v>
          </cell>
          <cell r="AY60">
            <v>3.917277634544304E-4</v>
          </cell>
          <cell r="AZ60">
            <v>7.7301270922242656E-4</v>
          </cell>
          <cell r="BA60">
            <v>3.763802291183545E-4</v>
          </cell>
          <cell r="BB60">
            <v>3.2906861075624659E-4</v>
          </cell>
          <cell r="BC60">
            <v>3.9490440469718729E-4</v>
          </cell>
          <cell r="BD60">
            <v>2.9413690046415991E-4</v>
          </cell>
          <cell r="BE60">
            <v>3.763802291183545E-4</v>
          </cell>
          <cell r="BF60">
            <v>-1.762195797125433E-3</v>
          </cell>
          <cell r="BG60">
            <v>2.3383296626351311E-4</v>
          </cell>
          <cell r="BH60">
            <v>6.7095380636314635E-4</v>
          </cell>
          <cell r="BI60">
            <v>4.8798705143576749E-4</v>
          </cell>
          <cell r="BJ60">
            <v>3.8964012700577289E-4</v>
          </cell>
          <cell r="BK60">
            <v>3.4204783734623938E-4</v>
          </cell>
          <cell r="BL60">
            <v>2.8324835023403188E-4</v>
          </cell>
          <cell r="BM60">
            <v>5.493747813344773E-4</v>
          </cell>
          <cell r="BN60">
            <v>4.4249401926869242E-4</v>
          </cell>
          <cell r="BO60">
            <v>4.2816203485515289E-4</v>
          </cell>
          <cell r="BP60">
            <v>2.6524640589165591E-4</v>
          </cell>
          <cell r="BQ60">
            <v>2.6524640589165591E-4</v>
          </cell>
          <cell r="BR60">
            <v>2.7819350953940241E-4</v>
          </cell>
          <cell r="BS60">
            <v>2.274598016776472E-4</v>
          </cell>
          <cell r="BT60">
            <v>2.4291184567708731E-4</v>
          </cell>
          <cell r="BU60">
            <v>1.2242416265488321E-4</v>
          </cell>
          <cell r="BV60">
            <v>2.5865301554566449E-4</v>
          </cell>
          <cell r="BW60">
            <v>3.0247257675894169E-4</v>
          </cell>
          <cell r="BX60">
            <v>5.0339671250341556E-4</v>
          </cell>
          <cell r="BY60">
            <v>-6.0917880378983873E-5</v>
          </cell>
          <cell r="BZ60">
            <v>1.033152780508159E-4</v>
          </cell>
          <cell r="CA60">
            <v>3.9185350642329E-5</v>
          </cell>
          <cell r="CB60">
            <v>2.0113601010841211E-4</v>
          </cell>
          <cell r="CC60">
            <v>-3.3746029056463201E-6</v>
          </cell>
          <cell r="CD60">
            <v>1.9407889800233361E-4</v>
          </cell>
          <cell r="CE60">
            <v>2.2234722578330879E-4</v>
          </cell>
        </row>
        <row r="61">
          <cell r="A61" t="str">
            <v>KG1 Index</v>
          </cell>
          <cell r="B61">
            <v>2.4120935315275791E-5</v>
          </cell>
          <cell r="C61">
            <v>-7.9378727819545705E-5</v>
          </cell>
          <cell r="D61">
            <v>-1.7055336342433901E-4</v>
          </cell>
          <cell r="E61">
            <v>-5.3003984802215823E-5</v>
          </cell>
          <cell r="F61">
            <v>1.6059951258799951E-5</v>
          </cell>
          <cell r="G61">
            <v>-5.811370009709338E-5</v>
          </cell>
          <cell r="H61">
            <v>4.5112372669852942E-5</v>
          </cell>
          <cell r="I61">
            <v>-3.1856908990588459E-6</v>
          </cell>
          <cell r="J61">
            <v>-4.2050809170631838E-5</v>
          </cell>
          <cell r="K61">
            <v>-2.4244536386286099E-5</v>
          </cell>
          <cell r="L61">
            <v>1.5213137864052029E-5</v>
          </cell>
          <cell r="M61">
            <v>-7.2043487207719889E-5</v>
          </cell>
          <cell r="N61">
            <v>-1.173143729233997E-4</v>
          </cell>
          <cell r="O61">
            <v>-9.0465614123527052E-5</v>
          </cell>
          <cell r="P61">
            <v>-1.5006373534388751E-4</v>
          </cell>
          <cell r="Q61">
            <v>-8.3988242751297209E-5</v>
          </cell>
          <cell r="R61">
            <v>-1.7013800486535E-4</v>
          </cell>
          <cell r="S61">
            <v>-1.429990914508377E-4</v>
          </cell>
          <cell r="T61">
            <v>-1.120751532454885E-4</v>
          </cell>
          <cell r="U61">
            <v>-3.553359977889769E-5</v>
          </cell>
          <cell r="V61">
            <v>-6.6201099041914581E-6</v>
          </cell>
          <cell r="W61">
            <v>-2.154142724200144E-5</v>
          </cell>
          <cell r="X61">
            <v>-3.5282152169172281E-5</v>
          </cell>
          <cell r="Y61">
            <v>2.104871743529042E-6</v>
          </cell>
          <cell r="Z61">
            <v>-2.7493123625363441E-6</v>
          </cell>
          <cell r="AA61">
            <v>-3.194775193871735E-6</v>
          </cell>
          <cell r="AB61">
            <v>1.177039831047922E-6</v>
          </cell>
          <cell r="AC61">
            <v>-4.995877805497336E-5</v>
          </cell>
          <cell r="AD61">
            <v>-3.910664662471077E-6</v>
          </cell>
          <cell r="AE61">
            <v>-1.786189924691934E-6</v>
          </cell>
          <cell r="AF61">
            <v>-7.8455690966537456E-6</v>
          </cell>
          <cell r="AG61">
            <v>-1.366758803980868E-5</v>
          </cell>
          <cell r="AH61">
            <v>-2.0748709078200899E-5</v>
          </cell>
          <cell r="AI61">
            <v>-4.703132197061528E-5</v>
          </cell>
          <cell r="AJ61">
            <v>-4.5421579197264617E-5</v>
          </cell>
          <cell r="AK61">
            <v>9.8180146434154253E-6</v>
          </cell>
          <cell r="AL61">
            <v>2.1539556624532401E-5</v>
          </cell>
          <cell r="AM61">
            <v>6.2350108499763994E-5</v>
          </cell>
          <cell r="AN61">
            <v>-1.2689708352590119E-6</v>
          </cell>
          <cell r="AO61">
            <v>1.3338563922858761E-5</v>
          </cell>
          <cell r="AP61">
            <v>-1.5799095289065611E-6</v>
          </cell>
          <cell r="AQ61">
            <v>-1.64659170804869E-6</v>
          </cell>
          <cell r="AR61">
            <v>-3.7747179140877387E-5</v>
          </cell>
          <cell r="AS61">
            <v>8.5665822632963586E-7</v>
          </cell>
          <cell r="AT61">
            <v>-1.5893590762258768E-5</v>
          </cell>
          <cell r="AU61">
            <v>2.4193293803818601E-4</v>
          </cell>
          <cell r="AV61">
            <v>1.9185017677617671E-4</v>
          </cell>
          <cell r="AW61">
            <v>2.8437514434024891E-4</v>
          </cell>
          <cell r="AX61">
            <v>3.863933371318744E-4</v>
          </cell>
          <cell r="AY61">
            <v>3.6965442718874501E-4</v>
          </cell>
          <cell r="AZ61">
            <v>5.5906341139882944E-4</v>
          </cell>
          <cell r="BA61">
            <v>3.6277190451020021E-4</v>
          </cell>
          <cell r="BB61">
            <v>3.217730594534037E-4</v>
          </cell>
          <cell r="BC61">
            <v>3.8471089389933771E-4</v>
          </cell>
          <cell r="BD61">
            <v>3.1550131984025529E-4</v>
          </cell>
          <cell r="BE61">
            <v>3.6277190451020021E-4</v>
          </cell>
          <cell r="BF61">
            <v>-1.703509637065488E-3</v>
          </cell>
          <cell r="BG61">
            <v>2.9948260813070219E-5</v>
          </cell>
          <cell r="BH61">
            <v>4.8798705143576749E-4</v>
          </cell>
          <cell r="BI61">
            <v>7.0005838732004381E-4</v>
          </cell>
          <cell r="BJ61">
            <v>3.746478083546196E-4</v>
          </cell>
          <cell r="BK61">
            <v>3.2409145642716617E-4</v>
          </cell>
          <cell r="BL61">
            <v>-3.821679162846409E-5</v>
          </cell>
          <cell r="BM61">
            <v>4.6820933028317307E-4</v>
          </cell>
          <cell r="BN61">
            <v>5.0449477341151395E-4</v>
          </cell>
          <cell r="BO61">
            <v>3.7984825762336552E-4</v>
          </cell>
          <cell r="BP61">
            <v>2.8386033468775238E-4</v>
          </cell>
          <cell r="BQ61">
            <v>2.8386033468775238E-4</v>
          </cell>
          <cell r="BR61">
            <v>2.9071306443766441E-4</v>
          </cell>
          <cell r="BS61">
            <v>2.3636692778984669E-4</v>
          </cell>
          <cell r="BT61">
            <v>2.045166141072707E-4</v>
          </cell>
          <cell r="BU61">
            <v>1.0729043644208591E-4</v>
          </cell>
          <cell r="BV61">
            <v>2.7347232845216062E-4</v>
          </cell>
          <cell r="BW61">
            <v>2.7542635780491461E-4</v>
          </cell>
          <cell r="BX61">
            <v>6.4326992161960151E-4</v>
          </cell>
          <cell r="BY61">
            <v>8.2338207547204368E-5</v>
          </cell>
          <cell r="BZ61">
            <v>1.2261805757829769E-4</v>
          </cell>
          <cell r="CA61">
            <v>8.4514139016734374E-5</v>
          </cell>
          <cell r="CB61">
            <v>2.6316132792827713E-4</v>
          </cell>
          <cell r="CC61">
            <v>4.2794861115694007E-5</v>
          </cell>
          <cell r="CD61">
            <v>2.673729282587743E-4</v>
          </cell>
          <cell r="CE61">
            <v>2.0750675543706101E-4</v>
          </cell>
        </row>
        <row r="62">
          <cell r="A62" t="str">
            <v>QB1 Index</v>
          </cell>
          <cell r="B62">
            <v>1.9010452421118909E-5</v>
          </cell>
          <cell r="C62">
            <v>-6.93720337191651E-5</v>
          </cell>
          <cell r="D62">
            <v>-1.30672478648035E-4</v>
          </cell>
          <cell r="E62">
            <v>-5.8172509161973703E-5</v>
          </cell>
          <cell r="F62">
            <v>2.8148759130365122E-5</v>
          </cell>
          <cell r="G62">
            <v>-4.9311339297211789E-5</v>
          </cell>
          <cell r="H62">
            <v>2.831934694857723E-5</v>
          </cell>
          <cell r="I62">
            <v>9.2379118990248974E-7</v>
          </cell>
          <cell r="J62">
            <v>-3.0276825006769399E-5</v>
          </cell>
          <cell r="K62">
            <v>-1.369243798090297E-5</v>
          </cell>
          <cell r="L62">
            <v>2.7168270371225799E-5</v>
          </cell>
          <cell r="M62">
            <v>-4.4617711778494607E-5</v>
          </cell>
          <cell r="N62">
            <v>-9.2837148157106272E-5</v>
          </cell>
          <cell r="O62">
            <v>-8.0366925131347339E-5</v>
          </cell>
          <cell r="P62">
            <v>-7.9940106835961122E-5</v>
          </cell>
          <cell r="Q62">
            <v>-5.4548785367219019E-5</v>
          </cell>
          <cell r="R62">
            <v>-9.8840176740055651E-5</v>
          </cell>
          <cell r="S62">
            <v>-1.22590759059813E-4</v>
          </cell>
          <cell r="T62">
            <v>-9.7008082982744323E-5</v>
          </cell>
          <cell r="U62">
            <v>-4.4174593656217888E-5</v>
          </cell>
          <cell r="V62">
            <v>-1.1033570520956611E-6</v>
          </cell>
          <cell r="W62">
            <v>-1.0028069855317001E-5</v>
          </cell>
          <cell r="X62">
            <v>-2.9534416515236938E-5</v>
          </cell>
          <cell r="Y62">
            <v>3.3253456847568632E-6</v>
          </cell>
          <cell r="Z62">
            <v>3.3033358247739858E-6</v>
          </cell>
          <cell r="AA62">
            <v>1.297067246385772E-5</v>
          </cell>
          <cell r="AB62">
            <v>3.6698166508901983E-5</v>
          </cell>
          <cell r="AC62">
            <v>3.2682602329962752E-5</v>
          </cell>
          <cell r="AD62">
            <v>-3.707348133029556E-6</v>
          </cell>
          <cell r="AE62">
            <v>-4.1440234241393571E-7</v>
          </cell>
          <cell r="AF62">
            <v>-2.9511334795998319E-6</v>
          </cell>
          <cell r="AG62">
            <v>-2.728014649763787E-6</v>
          </cell>
          <cell r="AH62">
            <v>-1.7958411386383401E-6</v>
          </cell>
          <cell r="AI62">
            <v>-9.0575347323587628E-6</v>
          </cell>
          <cell r="AJ62">
            <v>-4.6109871180021384E-6</v>
          </cell>
          <cell r="AK62">
            <v>3.6232083509348723E-5</v>
          </cell>
          <cell r="AL62">
            <v>2.4783270668009069E-5</v>
          </cell>
          <cell r="AM62">
            <v>8.7822676967944254E-5</v>
          </cell>
          <cell r="AN62">
            <v>-4.8318565269295567E-7</v>
          </cell>
          <cell r="AO62">
            <v>4.0774810191743752E-5</v>
          </cell>
          <cell r="AP62">
            <v>1.4200870329760911E-6</v>
          </cell>
          <cell r="AQ62">
            <v>2.7448564091257661E-6</v>
          </cell>
          <cell r="AR62">
            <v>-2.9952254961110971E-7</v>
          </cell>
          <cell r="AS62">
            <v>6.9092276761786772E-6</v>
          </cell>
          <cell r="AT62">
            <v>1.8261953748272409E-5</v>
          </cell>
          <cell r="AU62">
            <v>2.7970044450745241E-4</v>
          </cell>
          <cell r="AV62">
            <v>2.7498205863463892E-4</v>
          </cell>
          <cell r="AW62">
            <v>2.9458001906312121E-4</v>
          </cell>
          <cell r="AX62">
            <v>3.8399258093994631E-4</v>
          </cell>
          <cell r="AY62">
            <v>3.4577355807419001E-4</v>
          </cell>
          <cell r="AZ62">
            <v>4.5328991317444129E-4</v>
          </cell>
          <cell r="BA62">
            <v>3.4830021431077823E-4</v>
          </cell>
          <cell r="BB62">
            <v>3.0536037963142972E-4</v>
          </cell>
          <cell r="BC62">
            <v>3.4183210755405369E-4</v>
          </cell>
          <cell r="BD62">
            <v>2.4357046992306541E-4</v>
          </cell>
          <cell r="BE62">
            <v>3.4830021431077823E-4</v>
          </cell>
          <cell r="BF62">
            <v>-1.5174011760407361E-3</v>
          </cell>
          <cell r="BG62">
            <v>1.5632811572649619E-4</v>
          </cell>
          <cell r="BH62">
            <v>3.8964012700577289E-4</v>
          </cell>
          <cell r="BI62">
            <v>3.746478083546196E-4</v>
          </cell>
          <cell r="BJ62">
            <v>4.0572879490550188E-4</v>
          </cell>
          <cell r="BK62">
            <v>3.4606050742052479E-4</v>
          </cell>
          <cell r="BL62">
            <v>1.987624957488389E-4</v>
          </cell>
          <cell r="BM62">
            <v>4.3117950737726793E-4</v>
          </cell>
          <cell r="BN62">
            <v>3.6843120494256738E-4</v>
          </cell>
          <cell r="BO62">
            <v>3.0539285013164128E-4</v>
          </cell>
          <cell r="BP62">
            <v>2.5420118116993898E-4</v>
          </cell>
          <cell r="BQ62">
            <v>2.5420118116993898E-4</v>
          </cell>
          <cell r="BR62">
            <v>2.6300342849093418E-4</v>
          </cell>
          <cell r="BS62">
            <v>2.1199939269025419E-4</v>
          </cell>
          <cell r="BT62">
            <v>1.5889345849011031E-4</v>
          </cell>
          <cell r="BU62">
            <v>9.6768862933615859E-5</v>
          </cell>
          <cell r="BV62">
            <v>2.6511115035864541E-4</v>
          </cell>
          <cell r="BW62">
            <v>2.662427376461335E-4</v>
          </cell>
          <cell r="BX62">
            <v>4.3768478962061339E-4</v>
          </cell>
          <cell r="BY62">
            <v>-3.9465762881116991E-5</v>
          </cell>
          <cell r="BZ62">
            <v>5.5693092774918848E-5</v>
          </cell>
          <cell r="CA62">
            <v>-5.9679748169521781E-6</v>
          </cell>
          <cell r="CB62">
            <v>1.5068044049093861E-4</v>
          </cell>
          <cell r="CC62">
            <v>4.2065000803286262E-5</v>
          </cell>
          <cell r="CD62">
            <v>2.3270442267048349E-4</v>
          </cell>
          <cell r="CE62">
            <v>1.6381634292106641E-4</v>
          </cell>
        </row>
        <row r="63">
          <cell r="A63" t="str">
            <v>SRD1 Index</v>
          </cell>
          <cell r="B63">
            <v>1.053493621815598E-5</v>
          </cell>
          <cell r="C63">
            <v>-7.4743242940155839E-5</v>
          </cell>
          <cell r="D63">
            <v>-1.2085141937877871E-4</v>
          </cell>
          <cell r="E63">
            <v>-5.2686337334553483E-5</v>
          </cell>
          <cell r="F63">
            <v>3.2755400359046961E-5</v>
          </cell>
          <cell r="G63">
            <v>-4.7038884032935491E-5</v>
          </cell>
          <cell r="H63">
            <v>1.334312512702083E-5</v>
          </cell>
          <cell r="I63">
            <v>3.6651103984632501E-7</v>
          </cell>
          <cell r="J63">
            <v>-2.8136543052471589E-5</v>
          </cell>
          <cell r="K63">
            <v>-9.7754983779835986E-6</v>
          </cell>
          <cell r="L63">
            <v>3.2815557909957202E-5</v>
          </cell>
          <cell r="M63">
            <v>-4.0122436809768802E-5</v>
          </cell>
          <cell r="N63">
            <v>-8.893337280583763E-5</v>
          </cell>
          <cell r="O63">
            <v>-8.2056250766357917E-5</v>
          </cell>
          <cell r="P63">
            <v>-7.7419545995046794E-5</v>
          </cell>
          <cell r="Q63">
            <v>-5.3673496216452367E-5</v>
          </cell>
          <cell r="R63">
            <v>-8.4039074329761909E-5</v>
          </cell>
          <cell r="S63">
            <v>-1.006844037114638E-4</v>
          </cell>
          <cell r="T63">
            <v>-8.6303178929298817E-5</v>
          </cell>
          <cell r="U63">
            <v>-3.7535418794957737E-5</v>
          </cell>
          <cell r="V63">
            <v>5.9107976821244927E-6</v>
          </cell>
          <cell r="W63">
            <v>-9.5165290673440427E-6</v>
          </cell>
          <cell r="X63">
            <v>-1.898947280404103E-5</v>
          </cell>
          <cell r="Y63">
            <v>5.6539121565764642E-6</v>
          </cell>
          <cell r="Z63">
            <v>7.0703416528181074E-6</v>
          </cell>
          <cell r="AA63">
            <v>2.2710788809127301E-5</v>
          </cell>
          <cell r="AB63">
            <v>5.7572466013991763E-5</v>
          </cell>
          <cell r="AC63">
            <v>8.9206840554294543E-5</v>
          </cell>
          <cell r="AD63">
            <v>-1.9562933337437069E-6</v>
          </cell>
          <cell r="AE63">
            <v>2.9524511382023419E-6</v>
          </cell>
          <cell r="AF63">
            <v>1.344155280488266E-6</v>
          </cell>
          <cell r="AG63">
            <v>8.4770293136097437E-6</v>
          </cell>
          <cell r="AH63">
            <v>1.740897806053415E-5</v>
          </cell>
          <cell r="AI63">
            <v>3.055571602666829E-5</v>
          </cell>
          <cell r="AJ63">
            <v>4.9010918995021683E-5</v>
          </cell>
          <cell r="AK63">
            <v>5.7809695758124882E-5</v>
          </cell>
          <cell r="AL63">
            <v>2.963490494635741E-5</v>
          </cell>
          <cell r="AM63">
            <v>1.1071811292846451E-4</v>
          </cell>
          <cell r="AN63">
            <v>-1.62082851669988E-7</v>
          </cell>
          <cell r="AO63">
            <v>7.6634737552078763E-5</v>
          </cell>
          <cell r="AP63">
            <v>2.6245919062639078E-6</v>
          </cell>
          <cell r="AQ63">
            <v>5.1016372077465617E-6</v>
          </cell>
          <cell r="AR63">
            <v>1.7639582061917689E-5</v>
          </cell>
          <cell r="AS63">
            <v>1.163421119150719E-5</v>
          </cell>
          <cell r="AT63">
            <v>3.1188804388305083E-5</v>
          </cell>
          <cell r="AU63">
            <v>2.5103454924684589E-4</v>
          </cell>
          <cell r="AV63">
            <v>2.4412356810252101E-4</v>
          </cell>
          <cell r="AW63">
            <v>2.6042230479154699E-4</v>
          </cell>
          <cell r="AX63">
            <v>3.216660506947396E-4</v>
          </cell>
          <cell r="AY63">
            <v>3.0780467507685288E-4</v>
          </cell>
          <cell r="AZ63">
            <v>3.8842435335136001E-4</v>
          </cell>
          <cell r="BA63">
            <v>3.0675676960646139E-4</v>
          </cell>
          <cell r="BB63">
            <v>2.787181552671628E-4</v>
          </cell>
          <cell r="BC63">
            <v>3.0747879012829572E-4</v>
          </cell>
          <cell r="BD63">
            <v>2.1311841890334779E-4</v>
          </cell>
          <cell r="BE63">
            <v>3.0675676960646139E-4</v>
          </cell>
          <cell r="BF63">
            <v>-1.256378020936657E-3</v>
          </cell>
          <cell r="BG63">
            <v>1.3212112472860111E-4</v>
          </cell>
          <cell r="BH63">
            <v>3.4204783734623938E-4</v>
          </cell>
          <cell r="BI63">
            <v>3.2409145642716617E-4</v>
          </cell>
          <cell r="BJ63">
            <v>3.4606050742052479E-4</v>
          </cell>
          <cell r="BK63">
            <v>4.329689682062052E-4</v>
          </cell>
          <cell r="BL63">
            <v>1.5197344682993871E-4</v>
          </cell>
          <cell r="BM63">
            <v>3.6716693319921261E-4</v>
          </cell>
          <cell r="BN63">
            <v>3.0638224823910121E-4</v>
          </cell>
          <cell r="BO63">
            <v>2.9294930404099429E-4</v>
          </cell>
          <cell r="BP63">
            <v>2.0002663799066129E-4</v>
          </cell>
          <cell r="BQ63">
            <v>2.0002663799066129E-4</v>
          </cell>
          <cell r="BR63">
            <v>2.0300045679814461E-4</v>
          </cell>
          <cell r="BS63">
            <v>1.6171104533037201E-4</v>
          </cell>
          <cell r="BT63">
            <v>1.4117281804083969E-4</v>
          </cell>
          <cell r="BU63">
            <v>6.4039840878471658E-5</v>
          </cell>
          <cell r="BV63">
            <v>2.4175576997062859E-4</v>
          </cell>
          <cell r="BW63">
            <v>2.3543006256298221E-4</v>
          </cell>
          <cell r="BX63">
            <v>3.4972793873547258E-4</v>
          </cell>
          <cell r="BY63">
            <v>-9.425137053942631E-6</v>
          </cell>
          <cell r="BZ63">
            <v>7.9615074534460759E-5</v>
          </cell>
          <cell r="CA63">
            <v>8.5408669087887305E-6</v>
          </cell>
          <cell r="CB63">
            <v>1.6955454428148E-4</v>
          </cell>
          <cell r="CC63">
            <v>7.162582947891373E-5</v>
          </cell>
          <cell r="CD63">
            <v>2.3958707457581989E-4</v>
          </cell>
          <cell r="CE63">
            <v>1.5311217564782911E-4</v>
          </cell>
        </row>
        <row r="64">
          <cell r="A64" t="str">
            <v>DBE1 Index</v>
          </cell>
          <cell r="B64">
            <v>3.7624032690233852E-5</v>
          </cell>
          <cell r="C64">
            <v>-8.7104583447000807E-6</v>
          </cell>
          <cell r="D64">
            <v>-1.6539547521231179E-4</v>
          </cell>
          <cell r="E64">
            <v>-9.8544063087318339E-5</v>
          </cell>
          <cell r="F64">
            <v>5.9600274482268273E-5</v>
          </cell>
          <cell r="G64">
            <v>-3.6934377703251558E-5</v>
          </cell>
          <cell r="H64">
            <v>4.5283740661361527E-5</v>
          </cell>
          <cell r="I64">
            <v>3.2082081278747569E-5</v>
          </cell>
          <cell r="J64">
            <v>9.1921593280024097E-5</v>
          </cell>
          <cell r="K64">
            <v>1.248118803230279E-5</v>
          </cell>
          <cell r="L64">
            <v>6.4711994716397817E-5</v>
          </cell>
          <cell r="M64">
            <v>1.76570299475829E-5</v>
          </cell>
          <cell r="N64">
            <v>-8.1960133538252269E-5</v>
          </cell>
          <cell r="O64">
            <v>-4.5025938410800398E-5</v>
          </cell>
          <cell r="P64">
            <v>2.240544417997705E-5</v>
          </cell>
          <cell r="Q64">
            <v>-2.0041864535784941E-4</v>
          </cell>
          <cell r="R64">
            <v>-5.1723682204603822E-5</v>
          </cell>
          <cell r="S64">
            <v>-1.256529179151462E-4</v>
          </cell>
          <cell r="T64">
            <v>-2.6561384910414137E-4</v>
          </cell>
          <cell r="U64">
            <v>-1.074695626667465E-4</v>
          </cell>
          <cell r="V64">
            <v>-3.6231891330870297E-5</v>
          </cell>
          <cell r="W64">
            <v>1.9444474417766411E-6</v>
          </cell>
          <cell r="X64">
            <v>-4.6955883149628569E-4</v>
          </cell>
          <cell r="Y64">
            <v>3.7973325937151029E-6</v>
          </cell>
          <cell r="Z64">
            <v>-3.6105203388206171E-7</v>
          </cell>
          <cell r="AA64">
            <v>-7.5272458799425899E-6</v>
          </cell>
          <cell r="AB64">
            <v>1.153255308612042E-5</v>
          </cell>
          <cell r="AC64">
            <v>-5.0325050820213072E-5</v>
          </cell>
          <cell r="AD64">
            <v>-1.1769553726973619E-5</v>
          </cell>
          <cell r="AE64">
            <v>-3.2832649027681779E-6</v>
          </cell>
          <cell r="AF64">
            <v>-9.0599938268063329E-6</v>
          </cell>
          <cell r="AG64">
            <v>-3.1704316893283207E-5</v>
          </cell>
          <cell r="AH64">
            <v>-7.432850405270761E-5</v>
          </cell>
          <cell r="AI64">
            <v>-9.4226001033649473E-5</v>
          </cell>
          <cell r="AJ64">
            <v>-2.7699707923541837E-4</v>
          </cell>
          <cell r="AK64">
            <v>-2.7305373681950678E-5</v>
          </cell>
          <cell r="AL64">
            <v>-1.1240971598632181E-5</v>
          </cell>
          <cell r="AM64">
            <v>5.6218888970190449E-6</v>
          </cell>
          <cell r="AN64">
            <v>-1.216259635087909E-6</v>
          </cell>
          <cell r="AO64">
            <v>-5.034289552764145E-5</v>
          </cell>
          <cell r="AP64">
            <v>-3.62069449687476E-6</v>
          </cell>
          <cell r="AQ64">
            <v>-4.6194251551436992E-6</v>
          </cell>
          <cell r="AR64">
            <v>-9.7840818226621357E-5</v>
          </cell>
          <cell r="AS64">
            <v>1.51221072448837E-6</v>
          </cell>
          <cell r="AT64">
            <v>1.015368866438676E-6</v>
          </cell>
          <cell r="AU64">
            <v>1.037030970620819E-4</v>
          </cell>
          <cell r="AV64">
            <v>1.0733282516666251E-4</v>
          </cell>
          <cell r="AW64">
            <v>8.7146640888549867E-5</v>
          </cell>
          <cell r="AX64">
            <v>4.5554811405386418E-4</v>
          </cell>
          <cell r="AY64">
            <v>1.006811230179811E-4</v>
          </cell>
          <cell r="AZ64">
            <v>3.3047315103215739E-4</v>
          </cell>
          <cell r="BA64">
            <v>1.222404502682303E-4</v>
          </cell>
          <cell r="BB64">
            <v>1.216579646847624E-4</v>
          </cell>
          <cell r="BC64">
            <v>7.6038598283495993E-5</v>
          </cell>
          <cell r="BD64">
            <v>1.0943046233161721E-4</v>
          </cell>
          <cell r="BE64">
            <v>1.222404502682303E-4</v>
          </cell>
          <cell r="BF64">
            <v>-5.915696617516626E-4</v>
          </cell>
          <cell r="BG64">
            <v>9.5353934850644743E-4</v>
          </cell>
          <cell r="BH64">
            <v>2.8324835023403188E-4</v>
          </cell>
          <cell r="BI64">
            <v>-3.821679162846409E-5</v>
          </cell>
          <cell r="BJ64">
            <v>1.987624957488389E-4</v>
          </cell>
          <cell r="BK64">
            <v>1.5197344682993871E-4</v>
          </cell>
          <cell r="BL64">
            <v>2.5373752408108279E-2</v>
          </cell>
          <cell r="BM64">
            <v>1.157722743743692E-4</v>
          </cell>
          <cell r="BN64">
            <v>1.8845759119399759E-4</v>
          </cell>
          <cell r="BO64">
            <v>1.607432254857799E-4</v>
          </cell>
          <cell r="BP64">
            <v>1.1539040701304859E-4</v>
          </cell>
          <cell r="BQ64">
            <v>1.1539040701304859E-4</v>
          </cell>
          <cell r="BR64">
            <v>1.412080158409268E-4</v>
          </cell>
          <cell r="BS64">
            <v>6.4026483234947025E-5</v>
          </cell>
          <cell r="BT64">
            <v>1.912218095818959E-4</v>
          </cell>
          <cell r="BU64">
            <v>2.6879846676010821E-4</v>
          </cell>
          <cell r="BV64">
            <v>3.1843518423100588E-4</v>
          </cell>
          <cell r="BW64">
            <v>2.6275580526418692E-4</v>
          </cell>
          <cell r="BX64">
            <v>8.8425016274935918E-4</v>
          </cell>
          <cell r="BY64">
            <v>3.5385442822458759E-4</v>
          </cell>
          <cell r="BZ64">
            <v>6.2127120417799055E-4</v>
          </cell>
          <cell r="CA64">
            <v>7.8223979818772761E-4</v>
          </cell>
          <cell r="CB64">
            <v>-9.2341407416039669E-5</v>
          </cell>
          <cell r="CC64">
            <v>-1.5008191446816951E-5</v>
          </cell>
          <cell r="CD64">
            <v>2.9691517362180088E-4</v>
          </cell>
          <cell r="CE64">
            <v>2.3264238500083441E-4</v>
          </cell>
        </row>
        <row r="65">
          <cell r="A65" t="str">
            <v>SX1 Index</v>
          </cell>
          <cell r="B65">
            <v>3.3972654692649953E-5</v>
          </cell>
          <cell r="C65">
            <v>-7.2346015997966774E-5</v>
          </cell>
          <cell r="D65">
            <v>-1.3161335335358141E-4</v>
          </cell>
          <cell r="E65">
            <v>-5.9897912721338287E-5</v>
          </cell>
          <cell r="F65">
            <v>3.5935869191993907E-5</v>
          </cell>
          <cell r="G65">
            <v>-3.9999547631980881E-5</v>
          </cell>
          <cell r="H65">
            <v>4.8506711537525263E-5</v>
          </cell>
          <cell r="I65">
            <v>5.4508655578058596E-6</v>
          </cell>
          <cell r="J65">
            <v>-3.8696764844499899E-5</v>
          </cell>
          <cell r="K65">
            <v>-1.386534495851942E-5</v>
          </cell>
          <cell r="L65">
            <v>3.5067328104893042E-5</v>
          </cell>
          <cell r="M65">
            <v>-5.0424457613999317E-5</v>
          </cell>
          <cell r="N65">
            <v>-9.6856585837313105E-5</v>
          </cell>
          <cell r="O65">
            <v>-7.3193836631197469E-5</v>
          </cell>
          <cell r="P65">
            <v>-1.044797973946011E-4</v>
          </cell>
          <cell r="Q65">
            <v>-7.9003042018804522E-5</v>
          </cell>
          <cell r="R65">
            <v>-1.2600966884229129E-4</v>
          </cell>
          <cell r="S65">
            <v>-1.397222349855367E-4</v>
          </cell>
          <cell r="T65">
            <v>-1.2466729539037469E-4</v>
          </cell>
          <cell r="U65">
            <v>-4.0336470681800448E-5</v>
          </cell>
          <cell r="V65">
            <v>2.3408076733755959E-6</v>
          </cell>
          <cell r="W65">
            <v>-5.2320240333233636E-6</v>
          </cell>
          <cell r="X65">
            <v>-1.8407523228098309E-6</v>
          </cell>
          <cell r="Y65">
            <v>2.4227621739320181E-6</v>
          </cell>
          <cell r="Z65">
            <v>-6.3124923565825087E-7</v>
          </cell>
          <cell r="AA65">
            <v>1.5664331798397861E-6</v>
          </cell>
          <cell r="AB65">
            <v>1.163425873107148E-5</v>
          </cell>
          <cell r="AC65">
            <v>-1.423489613934235E-5</v>
          </cell>
          <cell r="AD65">
            <v>-3.471667109089219E-6</v>
          </cell>
          <cell r="AE65">
            <v>-3.6085020029215801E-7</v>
          </cell>
          <cell r="AF65">
            <v>-5.076055494930016E-6</v>
          </cell>
          <cell r="AG65">
            <v>-1.1819248097601611E-5</v>
          </cell>
          <cell r="AH65">
            <v>-1.8440075976466691E-5</v>
          </cell>
          <cell r="AI65">
            <v>-4.2822306120254672E-5</v>
          </cell>
          <cell r="AJ65">
            <v>-4.6044534138986237E-5</v>
          </cell>
          <cell r="AK65">
            <v>1.7909015773560031E-5</v>
          </cell>
          <cell r="AL65">
            <v>2.2532362322470489E-5</v>
          </cell>
          <cell r="AM65">
            <v>6.8181566140616568E-5</v>
          </cell>
          <cell r="AN65">
            <v>-7.3344641690714144E-7</v>
          </cell>
          <cell r="AO65">
            <v>1.5983265980730251E-5</v>
          </cell>
          <cell r="AP65">
            <v>-1.0993603184713559E-6</v>
          </cell>
          <cell r="AQ65">
            <v>-9.664319371778821E-7</v>
          </cell>
          <cell r="AR65">
            <v>-2.5278191876519929E-5</v>
          </cell>
          <cell r="AS65">
            <v>1.0860894159671811E-6</v>
          </cell>
          <cell r="AT65">
            <v>-6.0609477762931136E-6</v>
          </cell>
          <cell r="AU65">
            <v>2.8314062109407442E-4</v>
          </cell>
          <cell r="AV65">
            <v>2.5630849418110648E-4</v>
          </cell>
          <cell r="AW65">
            <v>3.15478990192551E-4</v>
          </cell>
          <cell r="AX65">
            <v>4.2114129486486482E-4</v>
          </cell>
          <cell r="AY65">
            <v>4.0394542530056149E-4</v>
          </cell>
          <cell r="AZ65">
            <v>6.3714940069665407E-4</v>
          </cell>
          <cell r="BA65">
            <v>4.1493039925611432E-4</v>
          </cell>
          <cell r="BB65">
            <v>3.3827758716726229E-4</v>
          </cell>
          <cell r="BC65">
            <v>4.0053160128275539E-4</v>
          </cell>
          <cell r="BD65">
            <v>2.8205275211119529E-4</v>
          </cell>
          <cell r="BE65">
            <v>4.1493039925611432E-4</v>
          </cell>
          <cell r="BF65">
            <v>-1.779615691623773E-3</v>
          </cell>
          <cell r="BG65">
            <v>1.8254042057490091E-4</v>
          </cell>
          <cell r="BH65">
            <v>5.493747813344773E-4</v>
          </cell>
          <cell r="BI65">
            <v>4.6820933028317307E-4</v>
          </cell>
          <cell r="BJ65">
            <v>4.3117950737726793E-4</v>
          </cell>
          <cell r="BK65">
            <v>3.6716693319921261E-4</v>
          </cell>
          <cell r="BL65">
            <v>1.157722743743692E-4</v>
          </cell>
          <cell r="BM65">
            <v>6.5029777445571601E-4</v>
          </cell>
          <cell r="BN65">
            <v>4.2759722585961052E-4</v>
          </cell>
          <cell r="BO65">
            <v>3.719846568317851E-4</v>
          </cell>
          <cell r="BP65">
            <v>2.9074711455274289E-4</v>
          </cell>
          <cell r="BQ65">
            <v>2.9074711455274289E-4</v>
          </cell>
          <cell r="BR65">
            <v>3.0243498596040742E-4</v>
          </cell>
          <cell r="BS65">
            <v>2.4530848190232899E-4</v>
          </cell>
          <cell r="BT65">
            <v>2.1682701454709251E-4</v>
          </cell>
          <cell r="BU65">
            <v>1.2600157421358631E-4</v>
          </cell>
          <cell r="BV65">
            <v>2.9596570311301901E-4</v>
          </cell>
          <cell r="BW65">
            <v>3.1652613740064368E-4</v>
          </cell>
          <cell r="BX65">
            <v>4.832766003434936E-4</v>
          </cell>
          <cell r="BY65">
            <v>-7.7298723292743127E-5</v>
          </cell>
          <cell r="BZ65">
            <v>7.4103662206503301E-5</v>
          </cell>
          <cell r="CA65">
            <v>-1.7993573429116289E-5</v>
          </cell>
          <cell r="CB65">
            <v>2.170969245227905E-4</v>
          </cell>
          <cell r="CC65">
            <v>2.880717673799102E-5</v>
          </cell>
          <cell r="CD65">
            <v>2.4941029002025302E-4</v>
          </cell>
          <cell r="CE65">
            <v>1.9847734743860069E-4</v>
          </cell>
        </row>
        <row r="66">
          <cell r="A66" t="str">
            <v>JS1 Index</v>
          </cell>
          <cell r="B66">
            <v>2.705045892552998E-5</v>
          </cell>
          <cell r="C66">
            <v>-7.3194539533460922E-5</v>
          </cell>
          <cell r="D66">
            <v>-1.431482860920881E-4</v>
          </cell>
          <cell r="E66">
            <v>-5.2085093038024022E-5</v>
          </cell>
          <cell r="F66">
            <v>3.8601563349431027E-5</v>
          </cell>
          <cell r="G66">
            <v>-4.0474564464836139E-5</v>
          </cell>
          <cell r="H66">
            <v>4.8274844016431248E-5</v>
          </cell>
          <cell r="I66">
            <v>-2.541556041940811E-6</v>
          </cell>
          <cell r="J66">
            <v>-3.8831402157963121E-5</v>
          </cell>
          <cell r="K66">
            <v>-1.203782509558127E-5</v>
          </cell>
          <cell r="L66">
            <v>3.6691331775515398E-5</v>
          </cell>
          <cell r="M66">
            <v>-5.1758876168624362E-5</v>
          </cell>
          <cell r="N66">
            <v>-1.12759415845473E-4</v>
          </cell>
          <cell r="O66">
            <v>-9.1338693950246942E-5</v>
          </cell>
          <cell r="P66">
            <v>-1.3577660290807779E-4</v>
          </cell>
          <cell r="Q66">
            <v>-1.060399266126705E-4</v>
          </cell>
          <cell r="R66">
            <v>-1.5525707864150559E-4</v>
          </cell>
          <cell r="S66">
            <v>-1.2667165586874581E-4</v>
          </cell>
          <cell r="T66">
            <v>-1.3921266110394879E-4</v>
          </cell>
          <cell r="U66">
            <v>-3.6480089051478359E-5</v>
          </cell>
          <cell r="V66">
            <v>2.013438095483668E-6</v>
          </cell>
          <cell r="W66">
            <v>-7.9528935576332519E-6</v>
          </cell>
          <cell r="X66">
            <v>-8.904257317963088E-6</v>
          </cell>
          <cell r="Y66">
            <v>3.0807112636738438E-6</v>
          </cell>
          <cell r="Z66">
            <v>-9.8313075725550096E-7</v>
          </cell>
          <cell r="AA66">
            <v>-1.761622211507115E-6</v>
          </cell>
          <cell r="AB66">
            <v>5.9187435279137874E-6</v>
          </cell>
          <cell r="AC66">
            <v>-4.0031338991233078E-5</v>
          </cell>
          <cell r="AD66">
            <v>-2.6938333640353889E-6</v>
          </cell>
          <cell r="AE66">
            <v>1.689558687872849E-7</v>
          </cell>
          <cell r="AF66">
            <v>-7.1359884039783081E-6</v>
          </cell>
          <cell r="AG66">
            <v>-1.4248380016818081E-5</v>
          </cell>
          <cell r="AH66">
            <v>-2.000195563838513E-5</v>
          </cell>
          <cell r="AI66">
            <v>-4.9271638714543532E-5</v>
          </cell>
          <cell r="AJ66">
            <v>-5.9841567765328748E-5</v>
          </cell>
          <cell r="AK66">
            <v>5.135594574543771E-6</v>
          </cell>
          <cell r="AL66">
            <v>1.6545897177368722E-5</v>
          </cell>
          <cell r="AM66">
            <v>5.5146940881989179E-5</v>
          </cell>
          <cell r="AN66">
            <v>-9.0067653157870287E-7</v>
          </cell>
          <cell r="AO66">
            <v>1.032187747656219E-5</v>
          </cell>
          <cell r="AP66">
            <v>-8.7698044815182033E-7</v>
          </cell>
          <cell r="AQ66">
            <v>-1.321576384845956E-6</v>
          </cell>
          <cell r="AR66">
            <v>-3.162606651560252E-5</v>
          </cell>
          <cell r="AS66">
            <v>-7.8644859179737435E-7</v>
          </cell>
          <cell r="AT66">
            <v>-5.117476690978033E-6</v>
          </cell>
          <cell r="AU66">
            <v>2.7234874972111229E-4</v>
          </cell>
          <cell r="AV66">
            <v>2.4611819398663402E-4</v>
          </cell>
          <cell r="AW66">
            <v>2.9184725093653818E-4</v>
          </cell>
          <cell r="AX66">
            <v>3.8413252605862968E-4</v>
          </cell>
          <cell r="AY66">
            <v>3.364256677765295E-4</v>
          </cell>
          <cell r="AZ66">
            <v>5.0483625589974154E-4</v>
          </cell>
          <cell r="BA66">
            <v>3.4192565415292549E-4</v>
          </cell>
          <cell r="BB66">
            <v>3.0317183203725791E-4</v>
          </cell>
          <cell r="BC66">
            <v>3.397652505962303E-4</v>
          </cell>
          <cell r="BD66">
            <v>2.7991247976377742E-4</v>
          </cell>
          <cell r="BE66">
            <v>3.4192565415292549E-4</v>
          </cell>
          <cell r="BF66">
            <v>-1.498494470377212E-3</v>
          </cell>
          <cell r="BG66">
            <v>1.1702826805332961E-4</v>
          </cell>
          <cell r="BH66">
            <v>4.4249401926869242E-4</v>
          </cell>
          <cell r="BI66">
            <v>5.0449477341151395E-4</v>
          </cell>
          <cell r="BJ66">
            <v>3.6843120494256738E-4</v>
          </cell>
          <cell r="BK66">
            <v>3.0638224823910121E-4</v>
          </cell>
          <cell r="BL66">
            <v>1.8845759119399759E-4</v>
          </cell>
          <cell r="BM66">
            <v>4.2759722585961052E-4</v>
          </cell>
          <cell r="BN66">
            <v>6.0708416242561195E-4</v>
          </cell>
          <cell r="BO66">
            <v>3.2904725182091439E-4</v>
          </cell>
          <cell r="BP66">
            <v>2.6205577793290762E-4</v>
          </cell>
          <cell r="BQ66">
            <v>2.6205577793290762E-4</v>
          </cell>
          <cell r="BR66">
            <v>2.6897746332092942E-4</v>
          </cell>
          <cell r="BS66">
            <v>2.2278163486935559E-4</v>
          </cell>
          <cell r="BT66">
            <v>2.1267057062573439E-4</v>
          </cell>
          <cell r="BU66">
            <v>1.3235616915711581E-4</v>
          </cell>
          <cell r="BV66">
            <v>3.0203387298033971E-4</v>
          </cell>
          <cell r="BW66">
            <v>3.0308793839696452E-4</v>
          </cell>
          <cell r="BX66">
            <v>5.6208899340776488E-4</v>
          </cell>
          <cell r="BY66">
            <v>1.0965064858660469E-4</v>
          </cell>
          <cell r="BZ66">
            <v>1.4913260401474391E-4</v>
          </cell>
          <cell r="CA66">
            <v>7.9202260337285954E-5</v>
          </cell>
          <cell r="CB66">
            <v>2.6532863246632368E-4</v>
          </cell>
          <cell r="CC66">
            <v>5.5165826189936822E-5</v>
          </cell>
          <cell r="CD66">
            <v>2.9704607562809892E-4</v>
          </cell>
          <cell r="CE66">
            <v>3.0669270605013552E-4</v>
          </cell>
        </row>
        <row r="67">
          <cell r="A67" t="str">
            <v>IB1 Index</v>
          </cell>
          <cell r="B67">
            <v>1.806076959702689E-5</v>
          </cell>
          <cell r="C67">
            <v>-5.7465570007707883E-5</v>
          </cell>
          <cell r="D67">
            <v>-1.112562989299799E-4</v>
          </cell>
          <cell r="E67">
            <v>-4.3712165577556817E-5</v>
          </cell>
          <cell r="F67">
            <v>2.352902501167354E-5</v>
          </cell>
          <cell r="G67">
            <v>-3.5861068880978098E-5</v>
          </cell>
          <cell r="H67">
            <v>3.5989529122819118E-5</v>
          </cell>
          <cell r="I67">
            <v>1.3822089516486659E-6</v>
          </cell>
          <cell r="J67">
            <v>-2.506272363749235E-5</v>
          </cell>
          <cell r="K67">
            <v>-1.120161307901298E-5</v>
          </cell>
          <cell r="L67">
            <v>2.3201989370884308E-5</v>
          </cell>
          <cell r="M67">
            <v>-4.4233991859020787E-5</v>
          </cell>
          <cell r="N67">
            <v>-7.6928371918799109E-5</v>
          </cell>
          <cell r="O67">
            <v>-6.726985788884744E-5</v>
          </cell>
          <cell r="P67">
            <v>-1.0941901462713061E-4</v>
          </cell>
          <cell r="Q67">
            <v>-5.5342328676504741E-5</v>
          </cell>
          <cell r="R67">
            <v>-1.094732376924525E-4</v>
          </cell>
          <cell r="S67">
            <v>-1.2437329741381959E-4</v>
          </cell>
          <cell r="T67">
            <v>-1.050495070730569E-4</v>
          </cell>
          <cell r="U67">
            <v>-4.4369575912217501E-5</v>
          </cell>
          <cell r="V67">
            <v>-3.9970343341361676E-6</v>
          </cell>
          <cell r="W67">
            <v>-7.9972586731550256E-6</v>
          </cell>
          <cell r="X67">
            <v>-4.9205383699206489E-5</v>
          </cell>
          <cell r="Y67">
            <v>2.3346304802040779E-6</v>
          </cell>
          <cell r="Z67">
            <v>-5.7944585282708341E-8</v>
          </cell>
          <cell r="AA67">
            <v>1.6130574437022309E-6</v>
          </cell>
          <cell r="AB67">
            <v>1.1727077699438031E-5</v>
          </cell>
          <cell r="AC67">
            <v>-1.399244351217211E-5</v>
          </cell>
          <cell r="AD67">
            <v>-3.822668904676635E-6</v>
          </cell>
          <cell r="AE67">
            <v>-9.5817328450407784E-7</v>
          </cell>
          <cell r="AF67">
            <v>-4.8013453946232149E-6</v>
          </cell>
          <cell r="AG67">
            <v>-9.2619686036440806E-6</v>
          </cell>
          <cell r="AH67">
            <v>-1.420256308370988E-5</v>
          </cell>
          <cell r="AI67">
            <v>-3.5330514379257899E-5</v>
          </cell>
          <cell r="AJ67">
            <v>-4.4729681125295927E-5</v>
          </cell>
          <cell r="AK67">
            <v>1.147295776790324E-5</v>
          </cell>
          <cell r="AL67">
            <v>1.686562839341547E-5</v>
          </cell>
          <cell r="AM67">
            <v>5.5483777825435507E-5</v>
          </cell>
          <cell r="AN67">
            <v>-1.068967039312311E-6</v>
          </cell>
          <cell r="AO67">
            <v>1.7449293286129281E-5</v>
          </cell>
          <cell r="AP67">
            <v>-4.522155795482631E-7</v>
          </cell>
          <cell r="AQ67">
            <v>-3.0010163622823859E-7</v>
          </cell>
          <cell r="AR67">
            <v>-2.2588341980850049E-5</v>
          </cell>
          <cell r="AS67">
            <v>2.261965796206187E-6</v>
          </cell>
          <cell r="AT67">
            <v>1.155857577372322E-6</v>
          </cell>
          <cell r="AU67">
            <v>2.1298132032872689E-4</v>
          </cell>
          <cell r="AV67">
            <v>1.7438992460230981E-4</v>
          </cell>
          <cell r="AW67">
            <v>2.4089384390715531E-4</v>
          </cell>
          <cell r="AX67">
            <v>3.0675273414766782E-4</v>
          </cell>
          <cell r="AY67">
            <v>3.0018106154102689E-4</v>
          </cell>
          <cell r="AZ67">
            <v>4.9706700753732647E-4</v>
          </cell>
          <cell r="BA67">
            <v>2.8968777727275289E-4</v>
          </cell>
          <cell r="BB67">
            <v>2.6020818621244542E-4</v>
          </cell>
          <cell r="BC67">
            <v>3.0238728075966187E-4</v>
          </cell>
          <cell r="BD67">
            <v>2.290174540113325E-4</v>
          </cell>
          <cell r="BE67">
            <v>2.8968777727275289E-4</v>
          </cell>
          <cell r="BF67">
            <v>-1.3089589836263499E-3</v>
          </cell>
          <cell r="BG67">
            <v>1.4309294373782901E-4</v>
          </cell>
          <cell r="BH67">
            <v>4.2816203485515289E-4</v>
          </cell>
          <cell r="BI67">
            <v>3.7984825762336552E-4</v>
          </cell>
          <cell r="BJ67">
            <v>3.0539285013164128E-4</v>
          </cell>
          <cell r="BK67">
            <v>2.9294930404099429E-4</v>
          </cell>
          <cell r="BL67">
            <v>1.607432254857799E-4</v>
          </cell>
          <cell r="BM67">
            <v>3.719846568317851E-4</v>
          </cell>
          <cell r="BN67">
            <v>3.2904725182091439E-4</v>
          </cell>
          <cell r="BO67">
            <v>3.374672402097484E-4</v>
          </cell>
          <cell r="BP67">
            <v>2.0625382304215639E-4</v>
          </cell>
          <cell r="BQ67">
            <v>2.0625382304215639E-4</v>
          </cell>
          <cell r="BR67">
            <v>2.1421686162706219E-4</v>
          </cell>
          <cell r="BS67">
            <v>1.733137646910727E-4</v>
          </cell>
          <cell r="BT67">
            <v>1.5704527386682559E-4</v>
          </cell>
          <cell r="BU67">
            <v>8.0358992411570652E-5</v>
          </cell>
          <cell r="BV67">
            <v>2.1062511884756711E-4</v>
          </cell>
          <cell r="BW67">
            <v>2.2154098523883951E-4</v>
          </cell>
          <cell r="BX67">
            <v>3.8633413628946138E-4</v>
          </cell>
          <cell r="BY67">
            <v>-9.561340078673349E-6</v>
          </cell>
          <cell r="BZ67">
            <v>8.2283387994818292E-5</v>
          </cell>
          <cell r="CA67">
            <v>4.9888782404767521E-5</v>
          </cell>
          <cell r="CB67">
            <v>1.211760728231098E-4</v>
          </cell>
          <cell r="CC67">
            <v>2.2263626685727231E-5</v>
          </cell>
          <cell r="CD67">
            <v>1.666233420732595E-4</v>
          </cell>
          <cell r="CE67">
            <v>1.5168559902863839E-4</v>
          </cell>
        </row>
        <row r="68">
          <cell r="A68" t="str">
            <v>NO1 Index</v>
          </cell>
          <cell r="B68">
            <v>1.6169623409176411E-5</v>
          </cell>
          <cell r="C68">
            <v>-4.5292557468762253E-5</v>
          </cell>
          <cell r="D68">
            <v>-9.1239342129810578E-5</v>
          </cell>
          <cell r="E68">
            <v>-4.031149761892974E-5</v>
          </cell>
          <cell r="F68">
            <v>1.7141038291020901E-5</v>
          </cell>
          <cell r="G68">
            <v>-3.6459631305751793E-5</v>
          </cell>
          <cell r="H68">
            <v>3.9225530506563129E-5</v>
          </cell>
          <cell r="I68">
            <v>1.5767207183432849E-6</v>
          </cell>
          <cell r="J68">
            <v>-2.661424306200019E-5</v>
          </cell>
          <cell r="K68">
            <v>-9.6517617539272767E-6</v>
          </cell>
          <cell r="L68">
            <v>1.635289983310009E-5</v>
          </cell>
          <cell r="M68">
            <v>-3.123860300918567E-5</v>
          </cell>
          <cell r="N68">
            <v>-6.7103891976862148E-5</v>
          </cell>
          <cell r="O68">
            <v>-5.7365665540390239E-5</v>
          </cell>
          <cell r="P68">
            <v>-6.56049282137599E-5</v>
          </cell>
          <cell r="Q68">
            <v>-4.0647480556882867E-5</v>
          </cell>
          <cell r="R68">
            <v>-7.5313793138675372E-5</v>
          </cell>
          <cell r="S68">
            <v>-8.8439810391582804E-5</v>
          </cell>
          <cell r="T68">
            <v>-6.9327949677317751E-5</v>
          </cell>
          <cell r="U68">
            <v>-2.923517599571658E-5</v>
          </cell>
          <cell r="V68">
            <v>-2.8601861918326911E-6</v>
          </cell>
          <cell r="W68">
            <v>-7.7097393705019978E-6</v>
          </cell>
          <cell r="X68">
            <v>-3.0169270773715019E-5</v>
          </cell>
          <cell r="Y68">
            <v>2.516249680399077E-6</v>
          </cell>
          <cell r="Z68">
            <v>2.58623176866602E-7</v>
          </cell>
          <cell r="AA68">
            <v>1.774323133678487E-6</v>
          </cell>
          <cell r="AB68">
            <v>1.055484529294654E-5</v>
          </cell>
          <cell r="AC68">
            <v>-1.0298373853702529E-5</v>
          </cell>
          <cell r="AD68">
            <v>-2.1527985503154719E-6</v>
          </cell>
          <cell r="AE68">
            <v>-3.8992396496198471E-7</v>
          </cell>
          <cell r="AF68">
            <v>-3.5042932665904239E-6</v>
          </cell>
          <cell r="AG68">
            <v>-6.0353927940909626E-6</v>
          </cell>
          <cell r="AH68">
            <v>-9.318114004242E-6</v>
          </cell>
          <cell r="AI68">
            <v>-1.9597465062143291E-5</v>
          </cell>
          <cell r="AJ68">
            <v>-1.745005751980539E-5</v>
          </cell>
          <cell r="AK68">
            <v>1.380103825554865E-5</v>
          </cell>
          <cell r="AL68">
            <v>1.38910080719791E-5</v>
          </cell>
          <cell r="AM68">
            <v>4.566509445269985E-5</v>
          </cell>
          <cell r="AN68">
            <v>-1.909893634718233E-7</v>
          </cell>
          <cell r="AO68">
            <v>1.9304675417047151E-5</v>
          </cell>
          <cell r="AP68">
            <v>-3.4262527555193641E-7</v>
          </cell>
          <cell r="AQ68">
            <v>6.5543654209631559E-8</v>
          </cell>
          <cell r="AR68">
            <v>-1.561361829177037E-5</v>
          </cell>
          <cell r="AS68">
            <v>2.3826154721092999E-6</v>
          </cell>
          <cell r="AT68">
            <v>1.5155924914368489E-6</v>
          </cell>
          <cell r="AU68">
            <v>1.873058689984375E-4</v>
          </cell>
          <cell r="AV68">
            <v>1.97829645326224E-4</v>
          </cell>
          <cell r="AW68">
            <v>1.9212761881306169E-4</v>
          </cell>
          <cell r="AX68">
            <v>2.6901718733351109E-4</v>
          </cell>
          <cell r="AY68">
            <v>2.2499842750322419E-4</v>
          </cell>
          <cell r="AZ68">
            <v>3.0486883538551941E-4</v>
          </cell>
          <cell r="BA68">
            <v>2.276681562155393E-4</v>
          </cell>
          <cell r="BB68">
            <v>1.9614152506924819E-4</v>
          </cell>
          <cell r="BC68">
            <v>2.265720838550768E-4</v>
          </cell>
          <cell r="BD68">
            <v>1.6597191850498529E-4</v>
          </cell>
          <cell r="BE68">
            <v>2.276681562155393E-4</v>
          </cell>
          <cell r="BF68">
            <v>-1.0489310096139109E-3</v>
          </cell>
          <cell r="BG68">
            <v>8.465488828202734E-5</v>
          </cell>
          <cell r="BH68">
            <v>2.6524640589165591E-4</v>
          </cell>
          <cell r="BI68">
            <v>2.8386033468775238E-4</v>
          </cell>
          <cell r="BJ68">
            <v>2.5420118116993898E-4</v>
          </cell>
          <cell r="BK68">
            <v>2.0002663799066129E-4</v>
          </cell>
          <cell r="BL68">
            <v>1.1539040701304859E-4</v>
          </cell>
          <cell r="BM68">
            <v>2.9074711455274289E-4</v>
          </cell>
          <cell r="BN68">
            <v>2.6205577793290762E-4</v>
          </cell>
          <cell r="BO68">
            <v>2.0625382304215639E-4</v>
          </cell>
          <cell r="BP68">
            <v>2.6247710536607172E-4</v>
          </cell>
          <cell r="BQ68">
            <v>2.6247710536607172E-4</v>
          </cell>
          <cell r="BR68">
            <v>2.4665728178745682E-4</v>
          </cell>
          <cell r="BS68">
            <v>2.131284750008777E-4</v>
          </cell>
          <cell r="BT68">
            <v>1.575475374552253E-4</v>
          </cell>
          <cell r="BU68">
            <v>1.066630307593442E-4</v>
          </cell>
          <cell r="BV68">
            <v>2.1322972725337501E-4</v>
          </cell>
          <cell r="BW68">
            <v>2.00551852086247E-4</v>
          </cell>
          <cell r="BX68">
            <v>3.8069598000297169E-4</v>
          </cell>
          <cell r="BY68">
            <v>-3.461119213853317E-5</v>
          </cell>
          <cell r="BZ68">
            <v>3.8480371036693602E-5</v>
          </cell>
          <cell r="CA68">
            <v>1.606674424354121E-5</v>
          </cell>
          <cell r="CB68">
            <v>1.8491823759798681E-4</v>
          </cell>
          <cell r="CC68">
            <v>4.884024249702305E-6</v>
          </cell>
          <cell r="CD68">
            <v>1.265958468475786E-4</v>
          </cell>
          <cell r="CE68">
            <v>1.2008320171551281E-4</v>
          </cell>
        </row>
        <row r="69">
          <cell r="A69" t="str">
            <v>NK1 Index</v>
          </cell>
          <cell r="B69">
            <v>1.6169623409176411E-5</v>
          </cell>
          <cell r="C69">
            <v>-4.5292557468762253E-5</v>
          </cell>
          <cell r="D69">
            <v>-9.1239342129810578E-5</v>
          </cell>
          <cell r="E69">
            <v>-4.031149761892974E-5</v>
          </cell>
          <cell r="F69">
            <v>1.7141038291020901E-5</v>
          </cell>
          <cell r="G69">
            <v>-3.6459631305751793E-5</v>
          </cell>
          <cell r="H69">
            <v>3.9225530506563129E-5</v>
          </cell>
          <cell r="I69">
            <v>1.5767207183432849E-6</v>
          </cell>
          <cell r="J69">
            <v>-2.661424306200019E-5</v>
          </cell>
          <cell r="K69">
            <v>-9.6517617539272767E-6</v>
          </cell>
          <cell r="L69">
            <v>1.635289983310009E-5</v>
          </cell>
          <cell r="M69">
            <v>-3.123860300918567E-5</v>
          </cell>
          <cell r="N69">
            <v>-6.7103891976862148E-5</v>
          </cell>
          <cell r="O69">
            <v>-5.7365665540390239E-5</v>
          </cell>
          <cell r="P69">
            <v>-6.56049282137599E-5</v>
          </cell>
          <cell r="Q69">
            <v>-4.0647480556882867E-5</v>
          </cell>
          <cell r="R69">
            <v>-7.5313793138675372E-5</v>
          </cell>
          <cell r="S69">
            <v>-8.8439810391582804E-5</v>
          </cell>
          <cell r="T69">
            <v>-6.9327949677317751E-5</v>
          </cell>
          <cell r="U69">
            <v>-2.923517599571658E-5</v>
          </cell>
          <cell r="V69">
            <v>-2.8601861918326911E-6</v>
          </cell>
          <cell r="W69">
            <v>-7.7097393705019978E-6</v>
          </cell>
          <cell r="X69">
            <v>-3.0169270773715019E-5</v>
          </cell>
          <cell r="Y69">
            <v>2.516249680399077E-6</v>
          </cell>
          <cell r="Z69">
            <v>2.58623176866602E-7</v>
          </cell>
          <cell r="AA69">
            <v>1.774323133678487E-6</v>
          </cell>
          <cell r="AB69">
            <v>1.055484529294654E-5</v>
          </cell>
          <cell r="AC69">
            <v>-1.0298373853702529E-5</v>
          </cell>
          <cell r="AD69">
            <v>-2.1527985503154719E-6</v>
          </cell>
          <cell r="AE69">
            <v>-3.8992396496198471E-7</v>
          </cell>
          <cell r="AF69">
            <v>-3.5042932665904239E-6</v>
          </cell>
          <cell r="AG69">
            <v>-6.0353927940909626E-6</v>
          </cell>
          <cell r="AH69">
            <v>-9.318114004242E-6</v>
          </cell>
          <cell r="AI69">
            <v>-1.9597465062143291E-5</v>
          </cell>
          <cell r="AJ69">
            <v>-1.745005751980539E-5</v>
          </cell>
          <cell r="AK69">
            <v>1.380103825554865E-5</v>
          </cell>
          <cell r="AL69">
            <v>1.38910080719791E-5</v>
          </cell>
          <cell r="AM69">
            <v>4.566509445269985E-5</v>
          </cell>
          <cell r="AN69">
            <v>-1.909893634718233E-7</v>
          </cell>
          <cell r="AO69">
            <v>1.9304675417047151E-5</v>
          </cell>
          <cell r="AP69">
            <v>-3.4262527555193641E-7</v>
          </cell>
          <cell r="AQ69">
            <v>6.5543654209631559E-8</v>
          </cell>
          <cell r="AR69">
            <v>-1.561361829177037E-5</v>
          </cell>
          <cell r="AS69">
            <v>2.3826154721092999E-6</v>
          </cell>
          <cell r="AT69">
            <v>1.5155924914368489E-6</v>
          </cell>
          <cell r="AU69">
            <v>1.873058689984375E-4</v>
          </cell>
          <cell r="AV69">
            <v>1.97829645326224E-4</v>
          </cell>
          <cell r="AW69">
            <v>1.9212761881306169E-4</v>
          </cell>
          <cell r="AX69">
            <v>2.6901718733351109E-4</v>
          </cell>
          <cell r="AY69">
            <v>2.2499842750322419E-4</v>
          </cell>
          <cell r="AZ69">
            <v>3.0486883538551941E-4</v>
          </cell>
          <cell r="BA69">
            <v>2.276681562155393E-4</v>
          </cell>
          <cell r="BB69">
            <v>1.9614152506924819E-4</v>
          </cell>
          <cell r="BC69">
            <v>2.265720838550768E-4</v>
          </cell>
          <cell r="BD69">
            <v>1.6597191850498529E-4</v>
          </cell>
          <cell r="BE69">
            <v>2.276681562155393E-4</v>
          </cell>
          <cell r="BF69">
            <v>-1.0489310096139109E-3</v>
          </cell>
          <cell r="BG69">
            <v>8.465488828202734E-5</v>
          </cell>
          <cell r="BH69">
            <v>2.6524640589165591E-4</v>
          </cell>
          <cell r="BI69">
            <v>2.8386033468775238E-4</v>
          </cell>
          <cell r="BJ69">
            <v>2.5420118116993898E-4</v>
          </cell>
          <cell r="BK69">
            <v>2.0002663799066129E-4</v>
          </cell>
          <cell r="BL69">
            <v>1.1539040701304859E-4</v>
          </cell>
          <cell r="BM69">
            <v>2.9074711455274289E-4</v>
          </cell>
          <cell r="BN69">
            <v>2.6205577793290762E-4</v>
          </cell>
          <cell r="BO69">
            <v>2.0625382304215639E-4</v>
          </cell>
          <cell r="BP69">
            <v>2.6247710536607172E-4</v>
          </cell>
          <cell r="BQ69">
            <v>2.6247710536607172E-4</v>
          </cell>
          <cell r="BR69">
            <v>2.4665728178745682E-4</v>
          </cell>
          <cell r="BS69">
            <v>2.131284750008777E-4</v>
          </cell>
          <cell r="BT69">
            <v>1.575475374552253E-4</v>
          </cell>
          <cell r="BU69">
            <v>1.066630307593442E-4</v>
          </cell>
          <cell r="BV69">
            <v>2.1322972725337501E-4</v>
          </cell>
          <cell r="BW69">
            <v>2.00551852086247E-4</v>
          </cell>
          <cell r="BX69">
            <v>3.8069598000297169E-4</v>
          </cell>
          <cell r="BY69">
            <v>-3.461119213853317E-5</v>
          </cell>
          <cell r="BZ69">
            <v>3.8480371036693602E-5</v>
          </cell>
          <cell r="CA69">
            <v>1.606674424354121E-5</v>
          </cell>
          <cell r="CB69">
            <v>1.8491823759798681E-4</v>
          </cell>
          <cell r="CC69">
            <v>4.884024249702305E-6</v>
          </cell>
          <cell r="CD69">
            <v>1.265958468475786E-4</v>
          </cell>
          <cell r="CE69">
            <v>1.2008320171551281E-4</v>
          </cell>
        </row>
        <row r="70">
          <cell r="A70" t="str">
            <v>NX1 Index</v>
          </cell>
          <cell r="B70">
            <v>1.6923476831340519E-5</v>
          </cell>
          <cell r="C70">
            <v>-4.6031107215556793E-5</v>
          </cell>
          <cell r="D70">
            <v>-9.4201737819527115E-5</v>
          </cell>
          <cell r="E70">
            <v>-4.0986830395244039E-5</v>
          </cell>
          <cell r="F70">
            <v>1.6306582095715419E-5</v>
          </cell>
          <cell r="G70">
            <v>-3.7932007364613018E-5</v>
          </cell>
          <cell r="H70">
            <v>3.8646621602798777E-5</v>
          </cell>
          <cell r="I70">
            <v>-1.692153721503412E-6</v>
          </cell>
          <cell r="J70">
            <v>-2.664396110835005E-5</v>
          </cell>
          <cell r="K70">
            <v>-1.105005523923463E-5</v>
          </cell>
          <cell r="L70">
            <v>1.5574791881601379E-5</v>
          </cell>
          <cell r="M70">
            <v>-3.4638305242426309E-5</v>
          </cell>
          <cell r="N70">
            <v>-7.2789874601266054E-5</v>
          </cell>
          <cell r="O70">
            <v>-6.0901692101582457E-5</v>
          </cell>
          <cell r="P70">
            <v>-6.9880093826332935E-5</v>
          </cell>
          <cell r="Q70">
            <v>-4.498096913597957E-5</v>
          </cell>
          <cell r="R70">
            <v>-8.395467781743074E-5</v>
          </cell>
          <cell r="S70">
            <v>-9.2548017924282076E-5</v>
          </cell>
          <cell r="T70">
            <v>-8.0196176292358766E-5</v>
          </cell>
          <cell r="U70">
            <v>-3.0685988668337582E-5</v>
          </cell>
          <cell r="V70">
            <v>-5.0030107360226998E-6</v>
          </cell>
          <cell r="W70">
            <v>-1.037335120986488E-5</v>
          </cell>
          <cell r="X70">
            <v>-3.6342335583495737E-5</v>
          </cell>
          <cell r="Y70">
            <v>2.3498023818025658E-6</v>
          </cell>
          <cell r="Z70">
            <v>1.5044103618091831E-7</v>
          </cell>
          <cell r="AA70">
            <v>1.7463395959215249E-6</v>
          </cell>
          <cell r="AB70">
            <v>9.8977039469613898E-6</v>
          </cell>
          <cell r="AC70">
            <v>-1.1256457168573509E-5</v>
          </cell>
          <cell r="AD70">
            <v>-2.1598469210811639E-6</v>
          </cell>
          <cell r="AE70">
            <v>-4.204456809169781E-7</v>
          </cell>
          <cell r="AF70">
            <v>-3.0831823869903198E-6</v>
          </cell>
          <cell r="AG70">
            <v>-5.4409149751872033E-6</v>
          </cell>
          <cell r="AH70">
            <v>-8.9402806217904034E-6</v>
          </cell>
          <cell r="AI70">
            <v>-2.123420649155323E-5</v>
          </cell>
          <cell r="AJ70">
            <v>-2.2063836245818101E-5</v>
          </cell>
          <cell r="AK70">
            <v>1.441603019933166E-5</v>
          </cell>
          <cell r="AL70">
            <v>1.431108715618981E-5</v>
          </cell>
          <cell r="AM70">
            <v>4.8375561001880289E-5</v>
          </cell>
          <cell r="AN70">
            <v>-3.0293118055502958E-7</v>
          </cell>
          <cell r="AO70">
            <v>1.3907016685603039E-5</v>
          </cell>
          <cell r="AP70">
            <v>-2.1634112022160471E-7</v>
          </cell>
          <cell r="AQ70">
            <v>3.7767407184074577E-8</v>
          </cell>
          <cell r="AR70">
            <v>-1.472121440018875E-5</v>
          </cell>
          <cell r="AS70">
            <v>2.148136064245713E-6</v>
          </cell>
          <cell r="AT70">
            <v>2.9119137644713002E-7</v>
          </cell>
          <cell r="AU70">
            <v>2.0340283086879679E-4</v>
          </cell>
          <cell r="AV70">
            <v>2.123048259227149E-4</v>
          </cell>
          <cell r="AW70">
            <v>2.0839620547219131E-4</v>
          </cell>
          <cell r="AX70">
            <v>2.9265760664572008E-4</v>
          </cell>
          <cell r="AY70">
            <v>2.3392443099564471E-4</v>
          </cell>
          <cell r="AZ70">
            <v>3.2037312565397718E-4</v>
          </cell>
          <cell r="BA70">
            <v>2.3519513217723679E-4</v>
          </cell>
          <cell r="BB70">
            <v>2.029090860473005E-4</v>
          </cell>
          <cell r="BC70">
            <v>2.3282294303379969E-4</v>
          </cell>
          <cell r="BD70">
            <v>1.7144151267909971E-4</v>
          </cell>
          <cell r="BE70">
            <v>2.3519513217723679E-4</v>
          </cell>
          <cell r="BF70">
            <v>-1.0660298444242699E-3</v>
          </cell>
          <cell r="BG70">
            <v>8.5536280506793956E-5</v>
          </cell>
          <cell r="BH70">
            <v>2.7819350953940241E-4</v>
          </cell>
          <cell r="BI70">
            <v>2.9071306443766441E-4</v>
          </cell>
          <cell r="BJ70">
            <v>2.6300342849093418E-4</v>
          </cell>
          <cell r="BK70">
            <v>2.0300045679814461E-4</v>
          </cell>
          <cell r="BL70">
            <v>1.412080158409268E-4</v>
          </cell>
          <cell r="BM70">
            <v>3.0243498596040742E-4</v>
          </cell>
          <cell r="BN70">
            <v>2.6897746332092942E-4</v>
          </cell>
          <cell r="BO70">
            <v>2.1421686162706219E-4</v>
          </cell>
          <cell r="BP70">
            <v>2.4665728178745682E-4</v>
          </cell>
          <cell r="BQ70">
            <v>2.4665728178745682E-4</v>
          </cell>
          <cell r="BR70">
            <v>2.5621975020447392E-4</v>
          </cell>
          <cell r="BS70">
            <v>2.0240769479386189E-4</v>
          </cell>
          <cell r="BT70">
            <v>1.486326254466181E-4</v>
          </cell>
          <cell r="BU70">
            <v>1.0480115757279061E-4</v>
          </cell>
          <cell r="BV70">
            <v>2.0805716514587559E-4</v>
          </cell>
          <cell r="BW70">
            <v>2.1143898583117851E-4</v>
          </cell>
          <cell r="BX70">
            <v>3.6002159998716599E-4</v>
          </cell>
          <cell r="BY70">
            <v>-3.0836275600271812E-5</v>
          </cell>
          <cell r="BZ70">
            <v>4.1378557255479902E-5</v>
          </cell>
          <cell r="CA70">
            <v>1.0697409178140659E-5</v>
          </cell>
          <cell r="CB70">
            <v>1.9086626478869399E-4</v>
          </cell>
          <cell r="CC70">
            <v>8.0069584037843514E-6</v>
          </cell>
          <cell r="CD70">
            <v>1.3157739707077599E-4</v>
          </cell>
          <cell r="CE70">
            <v>1.1910322013640851E-4</v>
          </cell>
        </row>
        <row r="71">
          <cell r="A71" t="str">
            <v>TP1 Index</v>
          </cell>
          <cell r="B71">
            <v>1.35544829844971E-5</v>
          </cell>
          <cell r="C71">
            <v>-3.8358947360041253E-5</v>
          </cell>
          <cell r="D71">
            <v>-7.376734471571283E-5</v>
          </cell>
          <cell r="E71">
            <v>-3.2096173632069299E-5</v>
          </cell>
          <cell r="F71">
            <v>1.1020548180925299E-5</v>
          </cell>
          <cell r="G71">
            <v>-3.0605104261145699E-5</v>
          </cell>
          <cell r="H71">
            <v>3.3035728707073278E-5</v>
          </cell>
          <cell r="I71">
            <v>-1.5770344878984741E-6</v>
          </cell>
          <cell r="J71">
            <v>-2.4018246725229361E-5</v>
          </cell>
          <cell r="K71">
            <v>-1.0101696589596971E-5</v>
          </cell>
          <cell r="L71">
            <v>1.037325399446692E-5</v>
          </cell>
          <cell r="M71">
            <v>-2.8751941559823438E-5</v>
          </cell>
          <cell r="N71">
            <v>-5.4461311358245263E-5</v>
          </cell>
          <cell r="O71">
            <v>-4.6230048489342813E-5</v>
          </cell>
          <cell r="P71">
            <v>-5.7891161514791218E-5</v>
          </cell>
          <cell r="Q71">
            <v>-3.2578169641599601E-5</v>
          </cell>
          <cell r="R71">
            <v>-6.6941895854694214E-5</v>
          </cell>
          <cell r="S71">
            <v>-7.6385799501150703E-5</v>
          </cell>
          <cell r="T71">
            <v>-6.1302383594221291E-5</v>
          </cell>
          <cell r="U71">
            <v>-2.570358669090484E-5</v>
          </cell>
          <cell r="V71">
            <v>-7.0745289059043829E-6</v>
          </cell>
          <cell r="W71">
            <v>-8.7733323105745035E-6</v>
          </cell>
          <cell r="X71">
            <v>-2.645446999904886E-5</v>
          </cell>
          <cell r="Y71">
            <v>1.7740326913228521E-6</v>
          </cell>
          <cell r="Z71">
            <v>-4.5583003939961708E-7</v>
          </cell>
          <cell r="AA71">
            <v>-3.8784259587710479E-7</v>
          </cell>
          <cell r="AB71">
            <v>4.1713793675665954E-6</v>
          </cell>
          <cell r="AC71">
            <v>-1.9778991623034769E-5</v>
          </cell>
          <cell r="AD71">
            <v>-1.99760224523342E-6</v>
          </cell>
          <cell r="AE71">
            <v>-8.0391128792147223E-7</v>
          </cell>
          <cell r="AF71">
            <v>-3.8120988890308769E-6</v>
          </cell>
          <cell r="AG71">
            <v>-7.0580527947791736E-6</v>
          </cell>
          <cell r="AH71">
            <v>-1.1127014761626721E-5</v>
          </cell>
          <cell r="AI71">
            <v>-2.3840702498249739E-5</v>
          </cell>
          <cell r="AJ71">
            <v>-2.4359206154888071E-5</v>
          </cell>
          <cell r="AK71">
            <v>6.3800627086443777E-6</v>
          </cell>
          <cell r="AL71">
            <v>1.0708880697344399E-5</v>
          </cell>
          <cell r="AM71">
            <v>3.39265081122363E-5</v>
          </cell>
          <cell r="AN71">
            <v>-3.0611481663875488E-7</v>
          </cell>
          <cell r="AO71">
            <v>1.2120384426286469E-5</v>
          </cell>
          <cell r="AP71">
            <v>-5.0005150086227999E-7</v>
          </cell>
          <cell r="AQ71">
            <v>-3.4992583561513062E-7</v>
          </cell>
          <cell r="AR71">
            <v>-1.7737023771789929E-5</v>
          </cell>
          <cell r="AS71">
            <v>5.7955152603314657E-7</v>
          </cell>
          <cell r="AT71">
            <v>-1.0461097976699229E-6</v>
          </cell>
          <cell r="AU71">
            <v>1.5717289455590691E-4</v>
          </cell>
          <cell r="AV71">
            <v>1.6101938984358351E-4</v>
          </cell>
          <cell r="AW71">
            <v>1.6448578016516939E-4</v>
          </cell>
          <cell r="AX71">
            <v>2.220031339110362E-4</v>
          </cell>
          <cell r="AY71">
            <v>1.880933046075641E-4</v>
          </cell>
          <cell r="AZ71">
            <v>2.6007667232631168E-4</v>
          </cell>
          <cell r="BA71">
            <v>1.9161870650049451E-4</v>
          </cell>
          <cell r="BB71">
            <v>1.652929771436571E-4</v>
          </cell>
          <cell r="BC71">
            <v>1.8923933811065691E-4</v>
          </cell>
          <cell r="BD71">
            <v>1.4042670349519889E-4</v>
          </cell>
          <cell r="BE71">
            <v>1.9161870650049451E-4</v>
          </cell>
          <cell r="BF71">
            <v>-8.9656198053846448E-4</v>
          </cell>
          <cell r="BG71">
            <v>6.7567320272835432E-5</v>
          </cell>
          <cell r="BH71">
            <v>2.274598016776472E-4</v>
          </cell>
          <cell r="BI71">
            <v>2.3636692778984669E-4</v>
          </cell>
          <cell r="BJ71">
            <v>2.1199939269025419E-4</v>
          </cell>
          <cell r="BK71">
            <v>1.6171104533037201E-4</v>
          </cell>
          <cell r="BL71">
            <v>6.4026483234947025E-5</v>
          </cell>
          <cell r="BM71">
            <v>2.4530848190232899E-4</v>
          </cell>
          <cell r="BN71">
            <v>2.2278163486935559E-4</v>
          </cell>
          <cell r="BO71">
            <v>1.733137646910727E-4</v>
          </cell>
          <cell r="BP71">
            <v>2.131284750008777E-4</v>
          </cell>
          <cell r="BQ71">
            <v>2.131284750008777E-4</v>
          </cell>
          <cell r="BR71">
            <v>2.0240769479386189E-4</v>
          </cell>
          <cell r="BS71">
            <v>1.865091974793046E-4</v>
          </cell>
          <cell r="BT71">
            <v>1.2826568677163529E-4</v>
          </cell>
          <cell r="BU71">
            <v>7.9036445357513949E-5</v>
          </cell>
          <cell r="BV71">
            <v>1.737543243919755E-4</v>
          </cell>
          <cell r="BW71">
            <v>1.6346555839510149E-4</v>
          </cell>
          <cell r="BX71">
            <v>2.9728959009824892E-4</v>
          </cell>
          <cell r="BY71">
            <v>-3.9883361465898477E-5</v>
          </cell>
          <cell r="BZ71">
            <v>2.8015047147834409E-5</v>
          </cell>
          <cell r="CA71">
            <v>-7.7440176590158322E-8</v>
          </cell>
          <cell r="CB71">
            <v>1.5742630601486059E-4</v>
          </cell>
          <cell r="CC71">
            <v>-2.2593604561907298E-6</v>
          </cell>
          <cell r="CD71">
            <v>9.0342237608423032E-5</v>
          </cell>
          <cell r="CE71">
            <v>8.8660246821269012E-5</v>
          </cell>
        </row>
        <row r="72">
          <cell r="A72" t="str">
            <v>HI1 Index</v>
          </cell>
          <cell r="B72">
            <v>1.026010735191904E-5</v>
          </cell>
          <cell r="C72">
            <v>-3.6704712329622682E-5</v>
          </cell>
          <cell r="D72">
            <v>-6.3772930161737264E-5</v>
          </cell>
          <cell r="E72">
            <v>-2.8921769288801511E-5</v>
          </cell>
          <cell r="F72">
            <v>3.2278753795646892E-5</v>
          </cell>
          <cell r="G72">
            <v>-2.068868256586682E-6</v>
          </cell>
          <cell r="H72">
            <v>2.4498267856088839E-5</v>
          </cell>
          <cell r="I72">
            <v>-9.0397734413961962E-6</v>
          </cell>
          <cell r="J72">
            <v>-3.831825056320138E-5</v>
          </cell>
          <cell r="K72">
            <v>-4.2688598223188944E-6</v>
          </cell>
          <cell r="L72">
            <v>2.8831807357838989E-5</v>
          </cell>
          <cell r="M72">
            <v>-1.6387731487127839E-5</v>
          </cell>
          <cell r="N72">
            <v>-5.4142242820339557E-5</v>
          </cell>
          <cell r="O72">
            <v>-4.6206067560699017E-5</v>
          </cell>
          <cell r="P72">
            <v>-2.560117509301327E-5</v>
          </cell>
          <cell r="Q72">
            <v>-4.2322024999475457E-5</v>
          </cell>
          <cell r="R72">
            <v>-6.0099729582677748E-5</v>
          </cell>
          <cell r="S72">
            <v>-5.084361271291998E-5</v>
          </cell>
          <cell r="T72">
            <v>-7.476560469509858E-5</v>
          </cell>
          <cell r="U72">
            <v>-8.1114230137332632E-6</v>
          </cell>
          <cell r="V72">
            <v>1.446539403012487E-5</v>
          </cell>
          <cell r="W72">
            <v>-9.7068207155143259E-6</v>
          </cell>
          <cell r="X72">
            <v>-2.4862753187113169E-5</v>
          </cell>
          <cell r="Y72">
            <v>1.5493611699613121E-6</v>
          </cell>
          <cell r="Z72">
            <v>-6.3153743105259169E-7</v>
          </cell>
          <cell r="AA72">
            <v>-3.4808956740626899E-6</v>
          </cell>
          <cell r="AB72">
            <v>8.6582191680372081E-6</v>
          </cell>
          <cell r="AC72">
            <v>-5.3111377308496843E-6</v>
          </cell>
          <cell r="AD72">
            <v>-1.312574303693597E-6</v>
          </cell>
          <cell r="AE72">
            <v>1.653685608785423E-6</v>
          </cell>
          <cell r="AF72">
            <v>-9.6252359811012156E-8</v>
          </cell>
          <cell r="AG72">
            <v>3.0497453216327432E-7</v>
          </cell>
          <cell r="AH72">
            <v>-1.7229978518944799E-6</v>
          </cell>
          <cell r="AI72">
            <v>-8.0137093163464152E-7</v>
          </cell>
          <cell r="AJ72">
            <v>1.093348731871241E-6</v>
          </cell>
          <cell r="AK72">
            <v>2.012787814204276E-6</v>
          </cell>
          <cell r="AL72">
            <v>9.0731143482899931E-6</v>
          </cell>
          <cell r="AM72">
            <v>2.3214793645030549E-5</v>
          </cell>
          <cell r="AN72">
            <v>-2.1436821247606009E-8</v>
          </cell>
          <cell r="AO72">
            <v>8.9982172730619731E-6</v>
          </cell>
          <cell r="AP72">
            <v>-9.7328710671577724E-7</v>
          </cell>
          <cell r="AQ72">
            <v>-7.7824763635064085E-7</v>
          </cell>
          <cell r="AR72">
            <v>-1.0984637785086049E-5</v>
          </cell>
          <cell r="AS72">
            <v>-2.8516517832931579E-6</v>
          </cell>
          <cell r="AT72">
            <v>2.8784613561320529E-6</v>
          </cell>
          <cell r="AU72">
            <v>1.4097455054549039E-4</v>
          </cell>
          <cell r="AV72">
            <v>1.5781325942821689E-4</v>
          </cell>
          <cell r="AW72">
            <v>1.3807355370850779E-4</v>
          </cell>
          <cell r="AX72">
            <v>1.874683298997619E-4</v>
          </cell>
          <cell r="AY72">
            <v>1.649688460843902E-4</v>
          </cell>
          <cell r="AZ72">
            <v>2.6133018868112578E-4</v>
          </cell>
          <cell r="BA72">
            <v>1.6123559819120471E-4</v>
          </cell>
          <cell r="BB72">
            <v>1.4723042985641171E-4</v>
          </cell>
          <cell r="BC72">
            <v>1.6504746281647509E-4</v>
          </cell>
          <cell r="BD72">
            <v>1.34595434565056E-4</v>
          </cell>
          <cell r="BE72">
            <v>1.6123559819120471E-4</v>
          </cell>
          <cell r="BF72">
            <v>-8.4780992793569111E-4</v>
          </cell>
          <cell r="BG72">
            <v>7.8699514342746413E-5</v>
          </cell>
          <cell r="BH72">
            <v>2.4291184567708731E-4</v>
          </cell>
          <cell r="BI72">
            <v>2.045166141072707E-4</v>
          </cell>
          <cell r="BJ72">
            <v>1.5889345849011031E-4</v>
          </cell>
          <cell r="BK72">
            <v>1.4117281804083969E-4</v>
          </cell>
          <cell r="BL72">
            <v>1.912218095818959E-4</v>
          </cell>
          <cell r="BM72">
            <v>2.1682701454709251E-4</v>
          </cell>
          <cell r="BN72">
            <v>2.1267057062573439E-4</v>
          </cell>
          <cell r="BO72">
            <v>1.5704527386682559E-4</v>
          </cell>
          <cell r="BP72">
            <v>1.575475374552253E-4</v>
          </cell>
          <cell r="BQ72">
            <v>1.575475374552253E-4</v>
          </cell>
          <cell r="BR72">
            <v>1.486326254466181E-4</v>
          </cell>
          <cell r="BS72">
            <v>1.2826568677163529E-4</v>
          </cell>
          <cell r="BT72">
            <v>3.2236659697127621E-4</v>
          </cell>
          <cell r="BU72">
            <v>2.1059960319442481E-4</v>
          </cell>
          <cell r="BV72">
            <v>1.6606901344513831E-4</v>
          </cell>
          <cell r="BW72">
            <v>2.436374881124216E-4</v>
          </cell>
          <cell r="BX72">
            <v>2.4215541086476341E-4</v>
          </cell>
          <cell r="BY72">
            <v>-7.8202822947334851E-5</v>
          </cell>
          <cell r="BZ72">
            <v>5.0981401590285242E-5</v>
          </cell>
          <cell r="CA72">
            <v>2.8101621559963669E-5</v>
          </cell>
          <cell r="CB72">
            <v>1.0193641664732049E-4</v>
          </cell>
          <cell r="CC72">
            <v>3.8962582381373369E-5</v>
          </cell>
          <cell r="CD72">
            <v>1.4124467631572451E-4</v>
          </cell>
          <cell r="CE72">
            <v>1.2705277253010231E-4</v>
          </cell>
        </row>
        <row r="73">
          <cell r="A73" t="str">
            <v>XU1 Index</v>
          </cell>
          <cell r="B73">
            <v>3.0820134169235338E-6</v>
          </cell>
          <cell r="C73">
            <v>-2.245966722313365E-5</v>
          </cell>
          <cell r="D73">
            <v>-4.3275503051435301E-5</v>
          </cell>
          <cell r="E73">
            <v>-1.8103807861809081E-5</v>
          </cell>
          <cell r="F73">
            <v>1.9347564089561441E-5</v>
          </cell>
          <cell r="G73">
            <v>-5.9524738791902631E-6</v>
          </cell>
          <cell r="H73">
            <v>1.7635489360718682E-5</v>
          </cell>
          <cell r="I73">
            <v>-1.359499052312651E-5</v>
          </cell>
          <cell r="J73">
            <v>-2.192671465721243E-5</v>
          </cell>
          <cell r="K73">
            <v>-1.5808218556015151E-6</v>
          </cell>
          <cell r="L73">
            <v>1.734095062191703E-5</v>
          </cell>
          <cell r="M73">
            <v>-8.7422092547212899E-6</v>
          </cell>
          <cell r="N73">
            <v>-3.5506484301454648E-5</v>
          </cell>
          <cell r="O73">
            <v>-2.457575003527514E-5</v>
          </cell>
          <cell r="P73">
            <v>4.4541927548870064E-6</v>
          </cell>
          <cell r="Q73">
            <v>-1.97762781809281E-5</v>
          </cell>
          <cell r="R73">
            <v>-4.9705591655451912E-5</v>
          </cell>
          <cell r="S73">
            <v>-2.8841534545416849E-5</v>
          </cell>
          <cell r="T73">
            <v>-3.8541772135930337E-5</v>
          </cell>
          <cell r="U73">
            <v>-8.2817861355091653E-6</v>
          </cell>
          <cell r="V73">
            <v>1.0391722613918941E-5</v>
          </cell>
          <cell r="W73">
            <v>-7.1065884447668408E-6</v>
          </cell>
          <cell r="X73">
            <v>-1.19644950727792E-5</v>
          </cell>
          <cell r="Y73">
            <v>9.3432833963787064E-7</v>
          </cell>
          <cell r="Z73">
            <v>2.8087601834250822E-7</v>
          </cell>
          <cell r="AA73">
            <v>-5.3794697391390611E-8</v>
          </cell>
          <cell r="AB73">
            <v>1.339495806787676E-5</v>
          </cell>
          <cell r="AC73">
            <v>1.209916100986064E-5</v>
          </cell>
          <cell r="AD73">
            <v>1.7263199834587881E-7</v>
          </cell>
          <cell r="AE73">
            <v>9.8655024302007514E-7</v>
          </cell>
          <cell r="AF73">
            <v>1.466356064011409E-6</v>
          </cell>
          <cell r="AG73">
            <v>3.5954613568221892E-6</v>
          </cell>
          <cell r="AH73">
            <v>4.3669182451183996E-6</v>
          </cell>
          <cell r="AI73">
            <v>7.9896262925884022E-6</v>
          </cell>
          <cell r="AJ73">
            <v>1.2530069919878069E-5</v>
          </cell>
          <cell r="AK73">
            <v>1.073253431175838E-5</v>
          </cell>
          <cell r="AL73">
            <v>7.2749215294297651E-6</v>
          </cell>
          <cell r="AM73">
            <v>2.2479681858284529E-5</v>
          </cell>
          <cell r="AN73">
            <v>4.1658751594700331E-7</v>
          </cell>
          <cell r="AO73">
            <v>3.6275436159945741E-6</v>
          </cell>
          <cell r="AP73">
            <v>3.713291496467858E-7</v>
          </cell>
          <cell r="AQ73">
            <v>7.4614828874226046E-7</v>
          </cell>
          <cell r="AR73">
            <v>7.4179226930948082E-8</v>
          </cell>
          <cell r="AS73">
            <v>3.2364608083769699E-7</v>
          </cell>
          <cell r="AT73">
            <v>1.9467130293644881E-6</v>
          </cell>
          <cell r="AU73">
            <v>8.9754131484794889E-5</v>
          </cell>
          <cell r="AV73">
            <v>1.130055029611335E-4</v>
          </cell>
          <cell r="AW73">
            <v>8.3587556975707442E-5</v>
          </cell>
          <cell r="AX73">
            <v>1.2519653054931929E-4</v>
          </cell>
          <cell r="AY73">
            <v>9.2331244455602375E-5</v>
          </cell>
          <cell r="AZ73">
            <v>1.385351567330474E-4</v>
          </cell>
          <cell r="BA73">
            <v>8.8117791831661326E-5</v>
          </cell>
          <cell r="BB73">
            <v>8.5680075246401198E-5</v>
          </cell>
          <cell r="BC73">
            <v>9.3988369835983489E-5</v>
          </cell>
          <cell r="BD73">
            <v>7.715485961402715E-5</v>
          </cell>
          <cell r="BE73">
            <v>8.8117791831661326E-5</v>
          </cell>
          <cell r="BF73">
            <v>-5.0929946580563414E-4</v>
          </cell>
          <cell r="BG73">
            <v>5.5207095507876783E-5</v>
          </cell>
          <cell r="BH73">
            <v>1.2242416265488321E-4</v>
          </cell>
          <cell r="BI73">
            <v>1.0729043644208591E-4</v>
          </cell>
          <cell r="BJ73">
            <v>9.6768862933615859E-5</v>
          </cell>
          <cell r="BK73">
            <v>6.4039840878471658E-5</v>
          </cell>
          <cell r="BL73">
            <v>2.6879846676010821E-4</v>
          </cell>
          <cell r="BM73">
            <v>1.2600157421358631E-4</v>
          </cell>
          <cell r="BN73">
            <v>1.3235616915711581E-4</v>
          </cell>
          <cell r="BO73">
            <v>8.0358992411570652E-5</v>
          </cell>
          <cell r="BP73">
            <v>1.066630307593442E-4</v>
          </cell>
          <cell r="BQ73">
            <v>1.066630307593442E-4</v>
          </cell>
          <cell r="BR73">
            <v>1.0480115757279061E-4</v>
          </cell>
          <cell r="BS73">
            <v>7.9036445357513949E-5</v>
          </cell>
          <cell r="BT73">
            <v>2.1059960319442481E-4</v>
          </cell>
          <cell r="BU73">
            <v>2.6774620153357988E-4</v>
          </cell>
          <cell r="BV73">
            <v>1.1297992905546609E-4</v>
          </cell>
          <cell r="BW73">
            <v>1.769899562374569E-4</v>
          </cell>
          <cell r="BX73">
            <v>1.8186521354551861E-4</v>
          </cell>
          <cell r="BY73">
            <v>-6.4920107161020951E-5</v>
          </cell>
          <cell r="BZ73">
            <v>3.3856707195082702E-5</v>
          </cell>
          <cell r="CA73">
            <v>3.5272156280475449E-5</v>
          </cell>
          <cell r="CB73">
            <v>5.9187558856329419E-5</v>
          </cell>
          <cell r="CC73">
            <v>3.2338304620748921E-5</v>
          </cell>
          <cell r="CD73">
            <v>1.0282254604059529E-4</v>
          </cell>
          <cell r="CE73">
            <v>9.6713252594167432E-5</v>
          </cell>
        </row>
        <row r="74">
          <cell r="A74" t="str">
            <v>KM1 Index</v>
          </cell>
          <cell r="B74">
            <v>1.523758599008121E-5</v>
          </cell>
          <cell r="C74">
            <v>-4.6311558646378043E-5</v>
          </cell>
          <cell r="D74">
            <v>-9.4617227654614702E-5</v>
          </cell>
          <cell r="E74">
            <v>-3.9916798170715152E-5</v>
          </cell>
          <cell r="F74">
            <v>3.0019212674121981E-5</v>
          </cell>
          <cell r="G74">
            <v>-2.9219726344931279E-5</v>
          </cell>
          <cell r="H74">
            <v>2.511756488884108E-5</v>
          </cell>
          <cell r="I74">
            <v>3.4457798853361038E-6</v>
          </cell>
          <cell r="J74">
            <v>-3.2309104380888873E-5</v>
          </cell>
          <cell r="K74">
            <v>-6.3823288784502198E-6</v>
          </cell>
          <cell r="L74">
            <v>2.894815626880652E-5</v>
          </cell>
          <cell r="M74">
            <v>-2.697118225947818E-5</v>
          </cell>
          <cell r="N74">
            <v>-7.3074796506767686E-5</v>
          </cell>
          <cell r="O74">
            <v>-5.8144961274961538E-5</v>
          </cell>
          <cell r="P74">
            <v>-6.2490940227616853E-5</v>
          </cell>
          <cell r="Q74">
            <v>-4.8182761204531117E-5</v>
          </cell>
          <cell r="R74">
            <v>-7.4049932182949005E-5</v>
          </cell>
          <cell r="S74">
            <v>-8.6374820591979834E-5</v>
          </cell>
          <cell r="T74">
            <v>-6.7832754885898105E-5</v>
          </cell>
          <cell r="U74">
            <v>-2.8195497960970601E-5</v>
          </cell>
          <cell r="V74">
            <v>1.047530644318473E-5</v>
          </cell>
          <cell r="W74">
            <v>-2.32056586623351E-6</v>
          </cell>
          <cell r="X74">
            <v>-2.0699078699811031E-5</v>
          </cell>
          <cell r="Y74">
            <v>3.541748258332528E-6</v>
          </cell>
          <cell r="Z74">
            <v>2.7988323007643181E-6</v>
          </cell>
          <cell r="AA74">
            <v>9.3372104525363272E-6</v>
          </cell>
          <cell r="AB74">
            <v>2.8265820706839661E-5</v>
          </cell>
          <cell r="AC74">
            <v>2.1874953652975169E-5</v>
          </cell>
          <cell r="AD74">
            <v>-1.6003576077042179E-6</v>
          </cell>
          <cell r="AE74">
            <v>2.0402489711777649E-6</v>
          </cell>
          <cell r="AF74">
            <v>-1.0653362042987361E-6</v>
          </cell>
          <cell r="AG74">
            <v>-6.8678283832021719E-8</v>
          </cell>
          <cell r="AH74">
            <v>-7.4548015817392924E-7</v>
          </cell>
          <cell r="AI74">
            <v>-5.981507709256519E-6</v>
          </cell>
          <cell r="AJ74">
            <v>-5.2519973961141184E-6</v>
          </cell>
          <cell r="AK74">
            <v>2.371049311703313E-5</v>
          </cell>
          <cell r="AL74">
            <v>1.551168859798752E-5</v>
          </cell>
          <cell r="AM74">
            <v>5.9231418966543217E-5</v>
          </cell>
          <cell r="AN74">
            <v>2.249441872125527E-7</v>
          </cell>
          <cell r="AO74">
            <v>3.6121127846614861E-5</v>
          </cell>
          <cell r="AP74">
            <v>9.8546526417440231E-7</v>
          </cell>
          <cell r="AQ74">
            <v>1.652885564008064E-6</v>
          </cell>
          <cell r="AR74">
            <v>3.0895663278522342E-8</v>
          </cell>
          <cell r="AS74">
            <v>6.4193600190390328E-6</v>
          </cell>
          <cell r="AT74">
            <v>1.327604307159545E-5</v>
          </cell>
          <cell r="AU74">
            <v>2.0406389964047229E-4</v>
          </cell>
          <cell r="AV74">
            <v>2.100569791546215E-4</v>
          </cell>
          <cell r="AW74">
            <v>2.1091486869860549E-4</v>
          </cell>
          <cell r="AX74">
            <v>2.8415991504144472E-4</v>
          </cell>
          <cell r="AY74">
            <v>2.275698471926517E-4</v>
          </cell>
          <cell r="AZ74">
            <v>2.9618321027780991E-4</v>
          </cell>
          <cell r="BA74">
            <v>2.351662428858143E-4</v>
          </cell>
          <cell r="BB74">
            <v>2.0676696499694619E-4</v>
          </cell>
          <cell r="BC74">
            <v>2.266395226498205E-4</v>
          </cell>
          <cell r="BD74">
            <v>1.7290500295848339E-4</v>
          </cell>
          <cell r="BE74">
            <v>2.351662428858143E-4</v>
          </cell>
          <cell r="BF74">
            <v>-1.0480518123614671E-3</v>
          </cell>
          <cell r="BG74">
            <v>1.092242282845981E-4</v>
          </cell>
          <cell r="BH74">
            <v>2.5865301554566449E-4</v>
          </cell>
          <cell r="BI74">
            <v>2.7347232845216062E-4</v>
          </cell>
          <cell r="BJ74">
            <v>2.6511115035864541E-4</v>
          </cell>
          <cell r="BK74">
            <v>2.4175576997062859E-4</v>
          </cell>
          <cell r="BL74">
            <v>3.1843518423100588E-4</v>
          </cell>
          <cell r="BM74">
            <v>2.9596570311301901E-4</v>
          </cell>
          <cell r="BN74">
            <v>3.0203387298033971E-4</v>
          </cell>
          <cell r="BO74">
            <v>2.1062511884756711E-4</v>
          </cell>
          <cell r="BP74">
            <v>2.1322972725337501E-4</v>
          </cell>
          <cell r="BQ74">
            <v>2.1322972725337501E-4</v>
          </cell>
          <cell r="BR74">
            <v>2.0805716514587559E-4</v>
          </cell>
          <cell r="BS74">
            <v>1.737543243919755E-4</v>
          </cell>
          <cell r="BT74">
            <v>1.6606901344513831E-4</v>
          </cell>
          <cell r="BU74">
            <v>1.1297992905546609E-4</v>
          </cell>
          <cell r="BV74">
            <v>2.927975447472005E-4</v>
          </cell>
          <cell r="BW74">
            <v>2.3592949417529811E-4</v>
          </cell>
          <cell r="BX74">
            <v>3.3462130163062261E-4</v>
          </cell>
          <cell r="BY74">
            <v>-3.2089111646114728E-6</v>
          </cell>
          <cell r="BZ74">
            <v>7.4443925948581798E-5</v>
          </cell>
          <cell r="CA74">
            <v>3.906829411843852E-5</v>
          </cell>
          <cell r="CB74">
            <v>1.7533816383507301E-4</v>
          </cell>
          <cell r="CC74">
            <v>4.0674961727319788E-5</v>
          </cell>
          <cell r="CD74">
            <v>1.8534075129313809E-4</v>
          </cell>
          <cell r="CE74">
            <v>1.5442332535935821E-4</v>
          </cell>
        </row>
        <row r="75">
          <cell r="A75" t="str">
            <v>MES1 Index</v>
          </cell>
          <cell r="B75">
            <v>1.469291755114136E-5</v>
          </cell>
          <cell r="C75">
            <v>-4.8051095375475053E-5</v>
          </cell>
          <cell r="D75">
            <v>-1.0431063832924081E-4</v>
          </cell>
          <cell r="E75">
            <v>-4.6077106137351267E-5</v>
          </cell>
          <cell r="F75">
            <v>4.3397221136730013E-5</v>
          </cell>
          <cell r="G75">
            <v>-1.8193471900628651E-5</v>
          </cell>
          <cell r="H75">
            <v>2.894185307738165E-5</v>
          </cell>
          <cell r="I75">
            <v>-9.9556976155483646E-8</v>
          </cell>
          <cell r="J75">
            <v>-3.2408991604989057E-5</v>
          </cell>
          <cell r="K75">
            <v>-3.4938515004354939E-6</v>
          </cell>
          <cell r="L75">
            <v>4.0820841255705423E-5</v>
          </cell>
          <cell r="M75">
            <v>-2.5491059599945659E-5</v>
          </cell>
          <cell r="N75">
            <v>-7.8638823847324279E-5</v>
          </cell>
          <cell r="O75">
            <v>-6.373815841447844E-5</v>
          </cell>
          <cell r="P75">
            <v>-6.3487371546861105E-5</v>
          </cell>
          <cell r="Q75">
            <v>-5.7338817581620642E-5</v>
          </cell>
          <cell r="R75">
            <v>-9.2752193822680557E-5</v>
          </cell>
          <cell r="S75">
            <v>-8.5754050037358906E-5</v>
          </cell>
          <cell r="T75">
            <v>-9.9198273494972188E-5</v>
          </cell>
          <cell r="U75">
            <v>-2.562001118781587E-5</v>
          </cell>
          <cell r="V75">
            <v>1.0903046997975629E-5</v>
          </cell>
          <cell r="W75">
            <v>-8.0125190152497595E-6</v>
          </cell>
          <cell r="X75">
            <v>-2.720157040749088E-5</v>
          </cell>
          <cell r="Y75">
            <v>2.5299752094609461E-6</v>
          </cell>
          <cell r="Z75">
            <v>1.039630914077917E-6</v>
          </cell>
          <cell r="AA75">
            <v>3.5914938431035951E-6</v>
          </cell>
          <cell r="AB75">
            <v>2.2219220678393279E-5</v>
          </cell>
          <cell r="AC75">
            <v>1.470301820011042E-5</v>
          </cell>
          <cell r="AD75">
            <v>-1.766038205444076E-6</v>
          </cell>
          <cell r="AE75">
            <v>1.55186292582252E-6</v>
          </cell>
          <cell r="AF75">
            <v>-5.2973405014726625E-7</v>
          </cell>
          <cell r="AG75">
            <v>6.7784234846250051E-7</v>
          </cell>
          <cell r="AH75">
            <v>1.094609896019433E-6</v>
          </cell>
          <cell r="AI75">
            <v>-3.1559000394716432E-6</v>
          </cell>
          <cell r="AJ75">
            <v>-3.0210739953747378E-7</v>
          </cell>
          <cell r="AK75">
            <v>1.820657244738866E-5</v>
          </cell>
          <cell r="AL75">
            <v>1.5462342668765002E-5</v>
          </cell>
          <cell r="AM75">
            <v>5.5485464223639159E-5</v>
          </cell>
          <cell r="AN75">
            <v>-1.152164034376937E-7</v>
          </cell>
          <cell r="AO75">
            <v>1.882342125721052E-5</v>
          </cell>
          <cell r="AP75">
            <v>2.1716702816812881E-7</v>
          </cell>
          <cell r="AQ75">
            <v>7.901106974139501E-7</v>
          </cell>
          <cell r="AR75">
            <v>-1.447945953762695E-6</v>
          </cell>
          <cell r="AS75">
            <v>1.1940522608286161E-6</v>
          </cell>
          <cell r="AT75">
            <v>7.6635949453232595E-6</v>
          </cell>
          <cell r="AU75">
            <v>2.2472651281100611E-4</v>
          </cell>
          <cell r="AV75">
            <v>2.4198727064252021E-4</v>
          </cell>
          <cell r="AW75">
            <v>2.2226954093797091E-4</v>
          </cell>
          <cell r="AX75">
            <v>3.0708270086566002E-4</v>
          </cell>
          <cell r="AY75">
            <v>2.4281466603212639E-4</v>
          </cell>
          <cell r="AZ75">
            <v>3.4510910086419879E-4</v>
          </cell>
          <cell r="BA75">
            <v>2.4221513990635511E-4</v>
          </cell>
          <cell r="BB75">
            <v>2.1513689519165859E-4</v>
          </cell>
          <cell r="BC75">
            <v>2.3694331666668209E-4</v>
          </cell>
          <cell r="BD75">
            <v>1.7963012762489621E-4</v>
          </cell>
          <cell r="BE75">
            <v>2.4221513990635511E-4</v>
          </cell>
          <cell r="BF75">
            <v>-1.133511145276852E-3</v>
          </cell>
          <cell r="BG75">
            <v>1.3223596622142521E-4</v>
          </cell>
          <cell r="BH75">
            <v>3.0247257675894169E-4</v>
          </cell>
          <cell r="BI75">
            <v>2.7542635780491461E-4</v>
          </cell>
          <cell r="BJ75">
            <v>2.662427376461335E-4</v>
          </cell>
          <cell r="BK75">
            <v>2.3543006256298221E-4</v>
          </cell>
          <cell r="BL75">
            <v>2.6275580526418692E-4</v>
          </cell>
          <cell r="BM75">
            <v>3.1652613740064368E-4</v>
          </cell>
          <cell r="BN75">
            <v>3.0308793839696452E-4</v>
          </cell>
          <cell r="BO75">
            <v>2.2154098523883951E-4</v>
          </cell>
          <cell r="BP75">
            <v>2.00551852086247E-4</v>
          </cell>
          <cell r="BQ75">
            <v>2.00551852086247E-4</v>
          </cell>
          <cell r="BR75">
            <v>2.1143898583117851E-4</v>
          </cell>
          <cell r="BS75">
            <v>1.6346555839510149E-4</v>
          </cell>
          <cell r="BT75">
            <v>2.436374881124216E-4</v>
          </cell>
          <cell r="BU75">
            <v>1.769899562374569E-4</v>
          </cell>
          <cell r="BV75">
            <v>2.3592949417529811E-4</v>
          </cell>
          <cell r="BW75">
            <v>3.0022082310918771E-4</v>
          </cell>
          <cell r="BX75">
            <v>3.5935016339073148E-4</v>
          </cell>
          <cell r="BY75">
            <v>-3.3113281343198202E-5</v>
          </cell>
          <cell r="BZ75">
            <v>7.1640268209129722E-5</v>
          </cell>
          <cell r="CA75">
            <v>3.562639326788309E-5</v>
          </cell>
          <cell r="CB75">
            <v>1.948897239935932E-4</v>
          </cell>
          <cell r="CC75">
            <v>6.21109323351928E-5</v>
          </cell>
          <cell r="CD75">
            <v>2.2291125400616461E-4</v>
          </cell>
          <cell r="CE75">
            <v>1.774541593055112E-4</v>
          </cell>
        </row>
        <row r="76">
          <cell r="A76" t="str">
            <v>CL1 Comdty</v>
          </cell>
          <cell r="B76">
            <v>3.3314872957983318E-5</v>
          </cell>
          <cell r="C76">
            <v>-7.0613418719496314E-5</v>
          </cell>
          <cell r="D76">
            <v>-2.681815457407694E-4</v>
          </cell>
          <cell r="E76">
            <v>-8.4197481493056438E-5</v>
          </cell>
          <cell r="F76">
            <v>3.2947710750690488E-5</v>
          </cell>
          <cell r="G76">
            <v>-3.4552957588746481E-5</v>
          </cell>
          <cell r="H76">
            <v>8.0048108236648339E-5</v>
          </cell>
          <cell r="I76">
            <v>7.5730646921469473E-6</v>
          </cell>
          <cell r="J76">
            <v>-3.018200714349828E-5</v>
          </cell>
          <cell r="K76">
            <v>-1.8409249620420931E-5</v>
          </cell>
          <cell r="L76">
            <v>3.4905488150355023E-5</v>
          </cell>
          <cell r="M76">
            <v>-9.0969243835974635E-5</v>
          </cell>
          <cell r="N76">
            <v>-1.5541655828907891E-4</v>
          </cell>
          <cell r="O76">
            <v>-1.15739840229642E-4</v>
          </cell>
          <cell r="P76">
            <v>-1.6516070973006009E-4</v>
          </cell>
          <cell r="Q76">
            <v>-1.244372160812901E-4</v>
          </cell>
          <cell r="R76">
            <v>-2.6467970225436867E-4</v>
          </cell>
          <cell r="S76">
            <v>-2.3624751322425081E-4</v>
          </cell>
          <cell r="T76">
            <v>-2.2252623699661511E-4</v>
          </cell>
          <cell r="U76">
            <v>-1.1316293558139249E-4</v>
          </cell>
          <cell r="V76">
            <v>-1.5217279587027229E-5</v>
          </cell>
          <cell r="W76">
            <v>-2.4715784282874829E-5</v>
          </cell>
          <cell r="X76">
            <v>-9.7615472096655435E-5</v>
          </cell>
          <cell r="Y76">
            <v>3.036401178354937E-6</v>
          </cell>
          <cell r="Z76">
            <v>-3.9395146992673551E-6</v>
          </cell>
          <cell r="AA76">
            <v>-1.016023835931305E-5</v>
          </cell>
          <cell r="AB76">
            <v>-6.9626586236605254E-6</v>
          </cell>
          <cell r="AC76">
            <v>-9.6853792390874679E-5</v>
          </cell>
          <cell r="AD76">
            <v>-5.5740664902762817E-6</v>
          </cell>
          <cell r="AE76">
            <v>-4.7636100444389427E-6</v>
          </cell>
          <cell r="AF76">
            <v>-1.2377135877284269E-5</v>
          </cell>
          <cell r="AG76">
            <v>-2.9937260523566429E-5</v>
          </cell>
          <cell r="AH76">
            <v>-4.5195316326776937E-5</v>
          </cell>
          <cell r="AI76">
            <v>-1.041709153855892E-4</v>
          </cell>
          <cell r="AJ76">
            <v>-1.556939107441486E-4</v>
          </cell>
          <cell r="AK76">
            <v>-5.5136861956887067E-6</v>
          </cell>
          <cell r="AL76">
            <v>2.639812000322383E-5</v>
          </cell>
          <cell r="AM76">
            <v>7.8015456492320579E-5</v>
          </cell>
          <cell r="AN76">
            <v>-1.2424762374179001E-6</v>
          </cell>
          <cell r="AO76">
            <v>-1.2900348877837561E-5</v>
          </cell>
          <cell r="AP76">
            <v>-5.069797784157608E-6</v>
          </cell>
          <cell r="AQ76">
            <v>-5.3723229795768936E-6</v>
          </cell>
          <cell r="AR76">
            <v>-6.4533338972743185E-5</v>
          </cell>
          <cell r="AS76">
            <v>-2.7146971139262081E-6</v>
          </cell>
          <cell r="AT76">
            <v>-1.0624805580341209E-5</v>
          </cell>
          <cell r="AU76">
            <v>3.0921511434289859E-4</v>
          </cell>
          <cell r="AV76">
            <v>2.83565901911727E-4</v>
          </cell>
          <cell r="AW76">
            <v>3.4019694241806911E-4</v>
          </cell>
          <cell r="AX76">
            <v>5.1577368562290434E-4</v>
          </cell>
          <cell r="AY76">
            <v>3.8166816416048132E-4</v>
          </cell>
          <cell r="AZ76">
            <v>6.0307224893952E-4</v>
          </cell>
          <cell r="BA76">
            <v>3.9389085161284479E-4</v>
          </cell>
          <cell r="BB76">
            <v>3.3243315923841421E-4</v>
          </cell>
          <cell r="BC76">
            <v>3.808946806298376E-4</v>
          </cell>
          <cell r="BD76">
            <v>3.1765497274733923E-4</v>
          </cell>
          <cell r="BE76">
            <v>3.9389085161284479E-4</v>
          </cell>
          <cell r="BF76">
            <v>-1.9941551647401682E-3</v>
          </cell>
          <cell r="BG76">
            <v>4.6617825785363599E-4</v>
          </cell>
          <cell r="BH76">
            <v>5.0339671250341556E-4</v>
          </cell>
          <cell r="BI76">
            <v>6.4326992161960151E-4</v>
          </cell>
          <cell r="BJ76">
            <v>4.3768478962061339E-4</v>
          </cell>
          <cell r="BK76">
            <v>3.4972793873547258E-4</v>
          </cell>
          <cell r="BL76">
            <v>8.8425016274935918E-4</v>
          </cell>
          <cell r="BM76">
            <v>4.832766003434936E-4</v>
          </cell>
          <cell r="BN76">
            <v>5.6208899340776488E-4</v>
          </cell>
          <cell r="BO76">
            <v>3.8633413628946138E-4</v>
          </cell>
          <cell r="BP76">
            <v>3.8069598000297169E-4</v>
          </cell>
          <cell r="BQ76">
            <v>3.8069598000297169E-4</v>
          </cell>
          <cell r="BR76">
            <v>3.6002159998716599E-4</v>
          </cell>
          <cell r="BS76">
            <v>2.9728959009824892E-4</v>
          </cell>
          <cell r="BT76">
            <v>2.4215541086476341E-4</v>
          </cell>
          <cell r="BU76">
            <v>1.8186521354551861E-4</v>
          </cell>
          <cell r="BV76">
            <v>3.3462130163062261E-4</v>
          </cell>
          <cell r="BW76">
            <v>3.5935016339073148E-4</v>
          </cell>
          <cell r="BX76">
            <v>2.3773549278090448E-3</v>
          </cell>
          <cell r="BY76">
            <v>1.7068622324944321E-4</v>
          </cell>
          <cell r="BZ76">
            <v>1.7505030806405739E-4</v>
          </cell>
          <cell r="CA76">
            <v>2.4478501724541519E-4</v>
          </cell>
          <cell r="CB76">
            <v>3.4125844682456838E-4</v>
          </cell>
          <cell r="CC76">
            <v>4.5100007449306707E-5</v>
          </cell>
          <cell r="CD76">
            <v>4.6231231187380021E-4</v>
          </cell>
          <cell r="CE76">
            <v>3.7251986347002771E-4</v>
          </cell>
        </row>
        <row r="77">
          <cell r="A77" t="str">
            <v>W 1 Comdty</v>
          </cell>
          <cell r="B77">
            <v>-2.7440338138315958E-6</v>
          </cell>
          <cell r="C77">
            <v>4.3106408181977597E-6</v>
          </cell>
          <cell r="D77">
            <v>-1.1894835877038319E-5</v>
          </cell>
          <cell r="E77">
            <v>4.4348348103090698E-6</v>
          </cell>
          <cell r="F77">
            <v>-9.8430994859769064E-6</v>
          </cell>
          <cell r="G77">
            <v>-9.1634493076388518E-7</v>
          </cell>
          <cell r="H77">
            <v>-1.334920455386374E-6</v>
          </cell>
          <cell r="I77">
            <v>-3.2521670199512479E-6</v>
          </cell>
          <cell r="J77">
            <v>-4.3836565255512319E-6</v>
          </cell>
          <cell r="K77">
            <v>-1.8180712984481301E-6</v>
          </cell>
          <cell r="L77">
            <v>-9.0355653360239888E-6</v>
          </cell>
          <cell r="M77">
            <v>-2.004972166836722E-5</v>
          </cell>
          <cell r="N77">
            <v>-2.2683144531192711E-5</v>
          </cell>
          <cell r="O77">
            <v>-2.084356716782845E-5</v>
          </cell>
          <cell r="P77">
            <v>-6.9593243401454993E-5</v>
          </cell>
          <cell r="Q77">
            <v>-5.3259603160196267E-5</v>
          </cell>
          <cell r="R77">
            <v>-7.0989539439150149E-5</v>
          </cell>
          <cell r="S77">
            <v>-1.4300520086235091E-5</v>
          </cell>
          <cell r="T77">
            <v>-3.4249500647298687E-5</v>
          </cell>
          <cell r="U77">
            <v>-7.8586439720065064E-6</v>
          </cell>
          <cell r="V77">
            <v>-1.7230946435368749E-5</v>
          </cell>
          <cell r="W77">
            <v>-7.8588165806813284E-6</v>
          </cell>
          <cell r="X77">
            <v>-1.9062247558449351E-5</v>
          </cell>
          <cell r="Y77">
            <v>-1.5590776727593209E-6</v>
          </cell>
          <cell r="Z77">
            <v>-3.9123272805576929E-6</v>
          </cell>
          <cell r="AA77">
            <v>-8.0798482701477548E-6</v>
          </cell>
          <cell r="AB77">
            <v>-2.9919033311949728E-5</v>
          </cell>
          <cell r="AC77">
            <v>-6.0603212246887833E-5</v>
          </cell>
          <cell r="AD77">
            <v>2.2395285998667722E-6</v>
          </cell>
          <cell r="AE77">
            <v>-4.1727510672713032E-7</v>
          </cell>
          <cell r="AF77">
            <v>-1.429651631478079E-6</v>
          </cell>
          <cell r="AG77">
            <v>-6.3152046772485212E-6</v>
          </cell>
          <cell r="AH77">
            <v>-1.1914986877632219E-5</v>
          </cell>
          <cell r="AI77">
            <v>-2.4857534518583328E-5</v>
          </cell>
          <cell r="AJ77">
            <v>-3.0516469544231181E-5</v>
          </cell>
          <cell r="AK77">
            <v>-2.4799652132097971E-5</v>
          </cell>
          <cell r="AL77">
            <v>-7.8202484011719678E-6</v>
          </cell>
          <cell r="AM77">
            <v>-1.8114763869266739E-5</v>
          </cell>
          <cell r="AN77">
            <v>-4.1883435220655042E-7</v>
          </cell>
          <cell r="AO77">
            <v>-2.6140167875412099E-5</v>
          </cell>
          <cell r="AP77">
            <v>-2.4028879684073351E-6</v>
          </cell>
          <cell r="AQ77">
            <v>-3.3547260042189929E-6</v>
          </cell>
          <cell r="AR77">
            <v>-2.610201180804407E-5</v>
          </cell>
          <cell r="AS77">
            <v>-4.9590706260726437E-6</v>
          </cell>
          <cell r="AT77">
            <v>-2.4827865800985361E-5</v>
          </cell>
          <cell r="AU77">
            <v>-3.7686857367946798E-5</v>
          </cell>
          <cell r="AV77">
            <v>-5.8843339912326522E-5</v>
          </cell>
          <cell r="AW77">
            <v>-3.4553156139858299E-5</v>
          </cell>
          <cell r="AX77">
            <v>-6.2384214219561858E-6</v>
          </cell>
          <cell r="AY77">
            <v>-4.216894207496019E-5</v>
          </cell>
          <cell r="AZ77">
            <v>-6.6597085532625808E-5</v>
          </cell>
          <cell r="BA77">
            <v>-2.9665292544900879E-5</v>
          </cell>
          <cell r="BB77">
            <v>-3.14231709964431E-5</v>
          </cell>
          <cell r="BC77">
            <v>-3.3663519836928507E-5</v>
          </cell>
          <cell r="BD77">
            <v>-6.4055695160459381E-6</v>
          </cell>
          <cell r="BE77">
            <v>-2.9665292544900879E-5</v>
          </cell>
          <cell r="BF77">
            <v>1.428948430741911E-4</v>
          </cell>
          <cell r="BG77">
            <v>-6.0486765429987293E-5</v>
          </cell>
          <cell r="BH77">
            <v>-6.0917880378983873E-5</v>
          </cell>
          <cell r="BI77">
            <v>8.2338207547204368E-5</v>
          </cell>
          <cell r="BJ77">
            <v>-3.9465762881116991E-5</v>
          </cell>
          <cell r="BK77">
            <v>-9.425137053942631E-6</v>
          </cell>
          <cell r="BL77">
            <v>3.5385442822458759E-4</v>
          </cell>
          <cell r="BM77">
            <v>-7.7298723292743127E-5</v>
          </cell>
          <cell r="BN77">
            <v>1.0965064858660469E-4</v>
          </cell>
          <cell r="BO77">
            <v>-9.561340078673349E-6</v>
          </cell>
          <cell r="BP77">
            <v>-3.461119213853317E-5</v>
          </cell>
          <cell r="BQ77">
            <v>-3.461119213853317E-5</v>
          </cell>
          <cell r="BR77">
            <v>-3.0836275600271812E-5</v>
          </cell>
          <cell r="BS77">
            <v>-3.9883361465898477E-5</v>
          </cell>
          <cell r="BT77">
            <v>-7.8202822947334851E-5</v>
          </cell>
          <cell r="BU77">
            <v>-6.4920107161020951E-5</v>
          </cell>
          <cell r="BV77">
            <v>-3.2089111646114728E-6</v>
          </cell>
          <cell r="BW77">
            <v>-3.3113281343198202E-5</v>
          </cell>
          <cell r="BX77">
            <v>1.7068622324944321E-4</v>
          </cell>
          <cell r="BY77">
            <v>6.762815878192974E-4</v>
          </cell>
          <cell r="BZ77">
            <v>1.5274265818831481E-4</v>
          </cell>
          <cell r="CA77">
            <v>2.94145216449011E-4</v>
          </cell>
          <cell r="CB77">
            <v>1.001429874416439E-4</v>
          </cell>
          <cell r="CC77">
            <v>4.341555956562313E-5</v>
          </cell>
          <cell r="CD77">
            <v>1.014037487860405E-4</v>
          </cell>
          <cell r="CE77">
            <v>8.2070811269376878E-5</v>
          </cell>
        </row>
        <row r="78">
          <cell r="A78" t="str">
            <v>S 1 Comdty</v>
          </cell>
          <cell r="B78">
            <v>5.0724662576868641E-6</v>
          </cell>
          <cell r="C78">
            <v>-1.2474454952586651E-5</v>
          </cell>
          <cell r="D78">
            <v>-4.0040659421486473E-5</v>
          </cell>
          <cell r="E78">
            <v>-1.2013661807894001E-5</v>
          </cell>
          <cell r="F78">
            <v>2.0074017751184458E-5</v>
          </cell>
          <cell r="G78">
            <v>2.00382231551468E-6</v>
          </cell>
          <cell r="H78">
            <v>1.0046982622505931E-5</v>
          </cell>
          <cell r="I78">
            <v>1.220644153894396E-6</v>
          </cell>
          <cell r="J78">
            <v>-1.573451763336875E-5</v>
          </cell>
          <cell r="K78">
            <v>1.346969141589696E-6</v>
          </cell>
          <cell r="L78">
            <v>1.9345817776853822E-5</v>
          </cell>
          <cell r="M78">
            <v>-9.2273071731987811E-6</v>
          </cell>
          <cell r="N78">
            <v>-2.638589125416305E-5</v>
          </cell>
          <cell r="O78">
            <v>-2.4451602644229191E-5</v>
          </cell>
          <cell r="P78">
            <v>-6.4662025448689514E-5</v>
          </cell>
          <cell r="Q78">
            <v>-4.028070449288509E-5</v>
          </cell>
          <cell r="R78">
            <v>-3.9340876246626262E-5</v>
          </cell>
          <cell r="S78">
            <v>-2.4483112922440441E-5</v>
          </cell>
          <cell r="T78">
            <v>-4.4672829743125718E-5</v>
          </cell>
          <cell r="U78">
            <v>7.1740564193429821E-8</v>
          </cell>
          <cell r="V78">
            <v>6.7842778029841904E-7</v>
          </cell>
          <cell r="W78">
            <v>6.0312627558013415E-7</v>
          </cell>
          <cell r="X78">
            <v>-6.8720819647347613E-6</v>
          </cell>
          <cell r="Y78">
            <v>2.0316547486679038E-6</v>
          </cell>
          <cell r="Z78">
            <v>6.158574106187836E-7</v>
          </cell>
          <cell r="AA78">
            <v>-4.4774288264555812E-8</v>
          </cell>
          <cell r="AB78">
            <v>7.871429710674419E-7</v>
          </cell>
          <cell r="AC78">
            <v>-1.0167295886130839E-5</v>
          </cell>
          <cell r="AD78">
            <v>1.223198815720132E-7</v>
          </cell>
          <cell r="AE78">
            <v>1.55178041833878E-6</v>
          </cell>
          <cell r="AF78">
            <v>7.3576845726163285E-7</v>
          </cell>
          <cell r="AG78">
            <v>1.894383240812946E-6</v>
          </cell>
          <cell r="AH78">
            <v>-1.686950023545132E-6</v>
          </cell>
          <cell r="AI78">
            <v>-1.2828718804660619E-5</v>
          </cell>
          <cell r="AJ78">
            <v>-1.9035747618117811E-5</v>
          </cell>
          <cell r="AK78">
            <v>-4.4301178574578874E-6</v>
          </cell>
          <cell r="AL78">
            <v>5.3062227506543447E-6</v>
          </cell>
          <cell r="AM78">
            <v>1.2433971334862381E-5</v>
          </cell>
          <cell r="AN78">
            <v>-3.7299343051502442E-7</v>
          </cell>
          <cell r="AO78">
            <v>6.9777909681436091E-6</v>
          </cell>
          <cell r="AP78">
            <v>3.3662307966419861E-7</v>
          </cell>
          <cell r="AQ78">
            <v>-4.689006633697033E-7</v>
          </cell>
          <cell r="AR78">
            <v>-1.1954519770447421E-5</v>
          </cell>
          <cell r="AS78">
            <v>-5.5679272918736983E-7</v>
          </cell>
          <cell r="AT78">
            <v>-2.5413385210592351E-6</v>
          </cell>
          <cell r="AU78">
            <v>3.0500526229226189E-5</v>
          </cell>
          <cell r="AV78">
            <v>3.9296799620920164E-6</v>
          </cell>
          <cell r="AW78">
            <v>4.787674125689314E-5</v>
          </cell>
          <cell r="AX78">
            <v>5.7159166793433848E-5</v>
          </cell>
          <cell r="AY78">
            <v>5.5754718486955981E-5</v>
          </cell>
          <cell r="AZ78">
            <v>1.155151975920089E-4</v>
          </cell>
          <cell r="BA78">
            <v>5.2810419262976602E-5</v>
          </cell>
          <cell r="BB78">
            <v>5.1251904240372569E-5</v>
          </cell>
          <cell r="BC78">
            <v>6.5811435089352808E-5</v>
          </cell>
          <cell r="BD78">
            <v>6.0211328716423198E-5</v>
          </cell>
          <cell r="BE78">
            <v>5.2810419262976602E-5</v>
          </cell>
          <cell r="BF78">
            <v>-1.776570191744714E-4</v>
          </cell>
          <cell r="BG78">
            <v>2.8691000745852439E-5</v>
          </cell>
          <cell r="BH78">
            <v>1.033152780508159E-4</v>
          </cell>
          <cell r="BI78">
            <v>1.2261805757829769E-4</v>
          </cell>
          <cell r="BJ78">
            <v>5.5693092774918848E-5</v>
          </cell>
          <cell r="BK78">
            <v>7.9615074534460759E-5</v>
          </cell>
          <cell r="BL78">
            <v>6.2127120417799055E-4</v>
          </cell>
          <cell r="BM78">
            <v>7.4103662206503301E-5</v>
          </cell>
          <cell r="BN78">
            <v>1.4913260401474391E-4</v>
          </cell>
          <cell r="BO78">
            <v>8.2283387994818292E-5</v>
          </cell>
          <cell r="BP78">
            <v>3.8480371036693602E-5</v>
          </cell>
          <cell r="BQ78">
            <v>3.8480371036693602E-5</v>
          </cell>
          <cell r="BR78">
            <v>4.1378557255479902E-5</v>
          </cell>
          <cell r="BS78">
            <v>2.8015047147834409E-5</v>
          </cell>
          <cell r="BT78">
            <v>5.0981401590285242E-5</v>
          </cell>
          <cell r="BU78">
            <v>3.3856707195082702E-5</v>
          </cell>
          <cell r="BV78">
            <v>7.4443925948581798E-5</v>
          </cell>
          <cell r="BW78">
            <v>7.1640268209129722E-5</v>
          </cell>
          <cell r="BX78">
            <v>1.7505030806405739E-4</v>
          </cell>
          <cell r="BY78">
            <v>1.5274265818831481E-4</v>
          </cell>
          <cell r="BZ78">
            <v>2.6732764998971237E-4</v>
          </cell>
          <cell r="CA78">
            <v>2.2847682575558991E-4</v>
          </cell>
          <cell r="CB78">
            <v>3.4749753274273749E-5</v>
          </cell>
          <cell r="CC78">
            <v>3.5807351029670051E-5</v>
          </cell>
          <cell r="CD78">
            <v>1.06689378479574E-4</v>
          </cell>
          <cell r="CE78">
            <v>1.2249580720042751E-4</v>
          </cell>
        </row>
        <row r="79">
          <cell r="A79" t="str">
            <v>C 1 Comdty</v>
          </cell>
          <cell r="B79">
            <v>-8.3069548038312442E-8</v>
          </cell>
          <cell r="C79">
            <v>-1.738812307511374E-6</v>
          </cell>
          <cell r="D79">
            <v>-4.0670433110042028E-5</v>
          </cell>
          <cell r="E79">
            <v>1.587483819121879E-6</v>
          </cell>
          <cell r="F79">
            <v>-5.6176475857092014E-7</v>
          </cell>
          <cell r="G79">
            <v>4.085538232667732E-6</v>
          </cell>
          <cell r="H79">
            <v>1.356384587036199E-5</v>
          </cell>
          <cell r="I79">
            <v>-9.4478406157334764E-6</v>
          </cell>
          <cell r="J79">
            <v>-1.252547297836767E-5</v>
          </cell>
          <cell r="K79">
            <v>-4.7572990916106086E-6</v>
          </cell>
          <cell r="L79">
            <v>-7.4091323065176538E-7</v>
          </cell>
          <cell r="M79">
            <v>-2.1794967140811421E-5</v>
          </cell>
          <cell r="N79">
            <v>-2.441435759829886E-5</v>
          </cell>
          <cell r="O79">
            <v>-1.9403830361541418E-5</v>
          </cell>
          <cell r="P79">
            <v>-8.46752534631152E-5</v>
          </cell>
          <cell r="Q79">
            <v>-2.038229300364293E-5</v>
          </cell>
          <cell r="R79">
            <v>-3.9086261258104788E-5</v>
          </cell>
          <cell r="S79">
            <v>-4.7632161685336473E-5</v>
          </cell>
          <cell r="T79">
            <v>-4.7922531806765108E-5</v>
          </cell>
          <cell r="U79">
            <v>-2.650985634474072E-5</v>
          </cell>
          <cell r="V79">
            <v>-2.0623951406948489E-5</v>
          </cell>
          <cell r="W79">
            <v>-1.410900831639136E-5</v>
          </cell>
          <cell r="X79">
            <v>-2.3703766568233149E-5</v>
          </cell>
          <cell r="Y79">
            <v>3.9153383460735423E-7</v>
          </cell>
          <cell r="Z79">
            <v>-3.2191182069913868E-6</v>
          </cell>
          <cell r="AA79">
            <v>-1.1525275351473001E-5</v>
          </cell>
          <cell r="AB79">
            <v>-2.5359047297968699E-5</v>
          </cell>
          <cell r="AC79">
            <v>-6.6419239120082163E-5</v>
          </cell>
          <cell r="AD79">
            <v>-1.8366347131268389E-7</v>
          </cell>
          <cell r="AE79">
            <v>-1.356770184060282E-6</v>
          </cell>
          <cell r="AF79">
            <v>-3.0662439241549948E-6</v>
          </cell>
          <cell r="AG79">
            <v>-1.078459696482486E-5</v>
          </cell>
          <cell r="AH79">
            <v>-2.0518510132691161E-5</v>
          </cell>
          <cell r="AI79">
            <v>-4.4525053914642138E-5</v>
          </cell>
          <cell r="AJ79">
            <v>-6.5784229391010844E-5</v>
          </cell>
          <cell r="AK79">
            <v>-2.7366923333189531E-5</v>
          </cell>
          <cell r="AL79">
            <v>-4.333244500018539E-7</v>
          </cell>
          <cell r="AM79">
            <v>-1.1681366651341291E-5</v>
          </cell>
          <cell r="AN79">
            <v>-2.3664151663992861E-8</v>
          </cell>
          <cell r="AO79">
            <v>-2.137294708327196E-5</v>
          </cell>
          <cell r="AP79">
            <v>-2.3799619178086961E-6</v>
          </cell>
          <cell r="AQ79">
            <v>-3.4012026951140071E-6</v>
          </cell>
          <cell r="AR79">
            <v>-3.6429903129262611E-5</v>
          </cell>
          <cell r="AS79">
            <v>-4.3433413903047438E-6</v>
          </cell>
          <cell r="AT79">
            <v>-2.4433056373198638E-5</v>
          </cell>
          <cell r="AU79">
            <v>-6.0518356954646346E-6</v>
          </cell>
          <cell r="AV79">
            <v>-4.1355946465512409E-5</v>
          </cell>
          <cell r="AW79">
            <v>1.022411769339975E-5</v>
          </cell>
          <cell r="AX79">
            <v>1.6790575840340601E-5</v>
          </cell>
          <cell r="AY79">
            <v>-1.998136707372464E-7</v>
          </cell>
          <cell r="AZ79">
            <v>4.605919127558842E-5</v>
          </cell>
          <cell r="BA79">
            <v>1.1135003688261291E-6</v>
          </cell>
          <cell r="BB79">
            <v>8.1090626786303386E-6</v>
          </cell>
          <cell r="BC79">
            <v>1.0044120986565149E-5</v>
          </cell>
          <cell r="BD79">
            <v>3.3809782721336829E-5</v>
          </cell>
          <cell r="BE79">
            <v>1.1135003688261291E-6</v>
          </cell>
          <cell r="BF79">
            <v>-1.0782118490164841E-4</v>
          </cell>
          <cell r="BG79">
            <v>7.6442269098016044E-5</v>
          </cell>
          <cell r="BH79">
            <v>3.9185350642329E-5</v>
          </cell>
          <cell r="BI79">
            <v>8.4514139016734374E-5</v>
          </cell>
          <cell r="BJ79">
            <v>-5.9679748169521781E-6</v>
          </cell>
          <cell r="BK79">
            <v>8.5408669087887305E-6</v>
          </cell>
          <cell r="BL79">
            <v>7.8223979818772761E-4</v>
          </cell>
          <cell r="BM79">
            <v>-1.7993573429116289E-5</v>
          </cell>
          <cell r="BN79">
            <v>7.9202260337285954E-5</v>
          </cell>
          <cell r="BO79">
            <v>4.9888782404767521E-5</v>
          </cell>
          <cell r="BP79">
            <v>1.606674424354121E-5</v>
          </cell>
          <cell r="BQ79">
            <v>1.606674424354121E-5</v>
          </cell>
          <cell r="BR79">
            <v>1.0697409178140659E-5</v>
          </cell>
          <cell r="BS79">
            <v>-7.7440176590158322E-8</v>
          </cell>
          <cell r="BT79">
            <v>2.8101621559963669E-5</v>
          </cell>
          <cell r="BU79">
            <v>3.5272156280475449E-5</v>
          </cell>
          <cell r="BV79">
            <v>3.906829411843852E-5</v>
          </cell>
          <cell r="BW79">
            <v>3.562639326788309E-5</v>
          </cell>
          <cell r="BX79">
            <v>2.4478501724541519E-4</v>
          </cell>
          <cell r="BY79">
            <v>2.94145216449011E-4</v>
          </cell>
          <cell r="BZ79">
            <v>2.2847682575558991E-4</v>
          </cell>
          <cell r="CA79">
            <v>5.6734267245701247E-4</v>
          </cell>
          <cell r="CB79">
            <v>-6.2477070984625274E-5</v>
          </cell>
          <cell r="CC79">
            <v>3.798394014773998E-6</v>
          </cell>
          <cell r="CD79">
            <v>5.3226434306868391E-5</v>
          </cell>
          <cell r="CE79">
            <v>8.4672669309104659E-5</v>
          </cell>
        </row>
        <row r="80">
          <cell r="A80" t="str">
            <v>NG1 Comdty</v>
          </cell>
          <cell r="B80">
            <v>8.6000236656282922E-6</v>
          </cell>
          <cell r="C80">
            <v>-8.3931523499751164E-5</v>
          </cell>
          <cell r="D80">
            <v>-1.0979251980835261E-4</v>
          </cell>
          <cell r="E80">
            <v>-7.0265712080942868E-5</v>
          </cell>
          <cell r="F80">
            <v>1.3989391039549721E-5</v>
          </cell>
          <cell r="G80">
            <v>-4.9030752131336802E-5</v>
          </cell>
          <cell r="H80">
            <v>2.64593049943546E-5</v>
          </cell>
          <cell r="I80">
            <v>-4.3614016422997066E-6</v>
          </cell>
          <cell r="J80">
            <v>-1.6810726449382701E-5</v>
          </cell>
          <cell r="K80">
            <v>-1.8285029400087459E-5</v>
          </cell>
          <cell r="L80">
            <v>1.4895257860424071E-5</v>
          </cell>
          <cell r="M80">
            <v>-4.8134257384566612E-5</v>
          </cell>
          <cell r="N80">
            <v>-9.8441647203671313E-5</v>
          </cell>
          <cell r="O80">
            <v>-6.2283215371666817E-5</v>
          </cell>
          <cell r="P80">
            <v>-8.9994902910443819E-5</v>
          </cell>
          <cell r="Q80">
            <v>-6.0857397175600809E-5</v>
          </cell>
          <cell r="R80">
            <v>-8.7331919296312774E-5</v>
          </cell>
          <cell r="S80">
            <v>-9.3832884000175882E-5</v>
          </cell>
          <cell r="T80">
            <v>-6.7374517304304423E-5</v>
          </cell>
          <cell r="U80">
            <v>-3.4549767738871653E-5</v>
          </cell>
          <cell r="V80">
            <v>-1.1624020860715661E-5</v>
          </cell>
          <cell r="W80">
            <v>-1.559218680101149E-5</v>
          </cell>
          <cell r="X80">
            <v>-6.8845077737589853E-5</v>
          </cell>
          <cell r="Y80">
            <v>7.951359141664691E-6</v>
          </cell>
          <cell r="Z80">
            <v>4.0916781925109064E-6</v>
          </cell>
          <cell r="AA80">
            <v>8.8210604077705342E-6</v>
          </cell>
          <cell r="AB80">
            <v>-1.7858122328997379E-6</v>
          </cell>
          <cell r="AC80">
            <v>6.0032935418793989E-6</v>
          </cell>
          <cell r="AD80">
            <v>1.7502732438340539E-7</v>
          </cell>
          <cell r="AE80">
            <v>5.8418222186557844E-6</v>
          </cell>
          <cell r="AF80">
            <v>-5.5858181775034198E-6</v>
          </cell>
          <cell r="AG80">
            <v>-1.03159917776249E-5</v>
          </cell>
          <cell r="AH80">
            <v>-9.9015590859961496E-6</v>
          </cell>
          <cell r="AI80">
            <v>-7.6641504558450075E-6</v>
          </cell>
          <cell r="AJ80">
            <v>-2.430616413246035E-5</v>
          </cell>
          <cell r="AK80">
            <v>3.742362314491939E-5</v>
          </cell>
          <cell r="AL80">
            <v>7.8237358507625909E-6</v>
          </cell>
          <cell r="AM80">
            <v>2.4337357205820909E-5</v>
          </cell>
          <cell r="AN80">
            <v>-2.0557378416778369E-6</v>
          </cell>
          <cell r="AO80">
            <v>1.0059721300562999E-5</v>
          </cell>
          <cell r="AP80">
            <v>-2.7009482045256938E-6</v>
          </cell>
          <cell r="AQ80">
            <v>-7.4108141361272914E-7</v>
          </cell>
          <cell r="AR80">
            <v>-5.2039604535209406E-6</v>
          </cell>
          <cell r="AS80">
            <v>8.9214019123533821E-6</v>
          </cell>
          <cell r="AT80">
            <v>-1.0392007677119191E-5</v>
          </cell>
          <cell r="AU80">
            <v>1.8996724673773889E-4</v>
          </cell>
          <cell r="AV80">
            <v>2.1252308557993921E-4</v>
          </cell>
          <cell r="AW80">
            <v>1.5976584260729871E-4</v>
          </cell>
          <cell r="AX80">
            <v>2.4274432438346939E-4</v>
          </cell>
          <cell r="AY80">
            <v>1.172316223408164E-4</v>
          </cell>
          <cell r="AZ80">
            <v>1.7841404389053699E-4</v>
          </cell>
          <cell r="BA80">
            <v>1.2533982193116289E-4</v>
          </cell>
          <cell r="BB80">
            <v>1.3167167263044701E-4</v>
          </cell>
          <cell r="BC80">
            <v>1.061698483386197E-4</v>
          </cell>
          <cell r="BD80">
            <v>1.014606142833418E-4</v>
          </cell>
          <cell r="BE80">
            <v>1.2533982193116289E-4</v>
          </cell>
          <cell r="BF80">
            <v>-6.7835443095718383E-4</v>
          </cell>
          <cell r="BG80">
            <v>8.9555469345615967E-5</v>
          </cell>
          <cell r="BH80">
            <v>2.0113601010841211E-4</v>
          </cell>
          <cell r="BI80">
            <v>2.6316132792827713E-4</v>
          </cell>
          <cell r="BJ80">
            <v>1.5068044049093861E-4</v>
          </cell>
          <cell r="BK80">
            <v>1.6955454428148E-4</v>
          </cell>
          <cell r="BL80">
            <v>-9.2341407416039669E-5</v>
          </cell>
          <cell r="BM80">
            <v>2.170969245227905E-4</v>
          </cell>
          <cell r="BN80">
            <v>2.6532863246632368E-4</v>
          </cell>
          <cell r="BO80">
            <v>1.211760728231098E-4</v>
          </cell>
          <cell r="BP80">
            <v>1.8491823759798681E-4</v>
          </cell>
          <cell r="BQ80">
            <v>1.8491823759798681E-4</v>
          </cell>
          <cell r="BR80">
            <v>1.9086626478869399E-4</v>
          </cell>
          <cell r="BS80">
            <v>1.5742630601486059E-4</v>
          </cell>
          <cell r="BT80">
            <v>1.0193641664732049E-4</v>
          </cell>
          <cell r="BU80">
            <v>5.9187558856329419E-5</v>
          </cell>
          <cell r="BV80">
            <v>1.7533816383507301E-4</v>
          </cell>
          <cell r="BW80">
            <v>1.948897239935932E-4</v>
          </cell>
          <cell r="BX80">
            <v>3.4125844682456838E-4</v>
          </cell>
          <cell r="BY80">
            <v>1.001429874416439E-4</v>
          </cell>
          <cell r="BZ80">
            <v>3.4749753274273749E-5</v>
          </cell>
          <cell r="CA80">
            <v>-6.2477070984625274E-5</v>
          </cell>
          <cell r="CB80">
            <v>2.327437129293927E-3</v>
          </cell>
          <cell r="CC80">
            <v>4.1718396753229064E-6</v>
          </cell>
          <cell r="CD80">
            <v>1.2382355765406169E-4</v>
          </cell>
          <cell r="CE80">
            <v>1.4102210086727461E-4</v>
          </cell>
        </row>
        <row r="81">
          <cell r="A81" t="str">
            <v>GC1 Comdty</v>
          </cell>
          <cell r="B81">
            <v>-4.9441780680335439E-6</v>
          </cell>
          <cell r="C81">
            <v>-4.7607498586794977E-6</v>
          </cell>
          <cell r="D81">
            <v>-2.268149966292172E-5</v>
          </cell>
          <cell r="E81">
            <v>-9.5209552413156847E-6</v>
          </cell>
          <cell r="F81">
            <v>2.7148524732592679E-5</v>
          </cell>
          <cell r="G81">
            <v>1.4780193372725401E-6</v>
          </cell>
          <cell r="H81">
            <v>-6.9740250945882418E-7</v>
          </cell>
          <cell r="I81">
            <v>1.245158553776115E-5</v>
          </cell>
          <cell r="J81">
            <v>2.5839238876334789E-6</v>
          </cell>
          <cell r="K81">
            <v>1.056988799551929E-5</v>
          </cell>
          <cell r="L81">
            <v>2.6266970943387101E-5</v>
          </cell>
          <cell r="M81">
            <v>3.6707495797434029E-6</v>
          </cell>
          <cell r="N81">
            <v>-1.6290667290785058E-5</v>
          </cell>
          <cell r="O81">
            <v>-1.0227878456954709E-5</v>
          </cell>
          <cell r="P81">
            <v>1.215089515466266E-6</v>
          </cell>
          <cell r="Q81">
            <v>-1.39887366064308E-5</v>
          </cell>
          <cell r="R81">
            <v>-1.194336879894651E-5</v>
          </cell>
          <cell r="S81">
            <v>7.3365482895799314E-6</v>
          </cell>
          <cell r="T81">
            <v>-4.0686501602523329E-7</v>
          </cell>
          <cell r="U81">
            <v>1.3855310082945259E-5</v>
          </cell>
          <cell r="V81">
            <v>2.1572748447608021E-5</v>
          </cell>
          <cell r="W81">
            <v>9.4982269365323469E-6</v>
          </cell>
          <cell r="X81">
            <v>-6.0745349573719632E-6</v>
          </cell>
          <cell r="Y81">
            <v>1.3088216710093E-6</v>
          </cell>
          <cell r="Z81">
            <v>1.8969378366341101E-6</v>
          </cell>
          <cell r="AA81">
            <v>7.1194305869993123E-6</v>
          </cell>
          <cell r="AB81">
            <v>2.0026032563543361E-5</v>
          </cell>
          <cell r="AC81">
            <v>4.1370952771740212E-5</v>
          </cell>
          <cell r="AD81">
            <v>5.8648791292010955E-7</v>
          </cell>
          <cell r="AE81">
            <v>2.439374323607991E-6</v>
          </cell>
          <cell r="AF81">
            <v>4.0088224246575344E-6</v>
          </cell>
          <cell r="AG81">
            <v>1.209886666647558E-5</v>
          </cell>
          <cell r="AH81">
            <v>2.0449573854950589E-5</v>
          </cell>
          <cell r="AI81">
            <v>3.9635793672188682E-5</v>
          </cell>
          <cell r="AJ81">
            <v>6.0476669485041483E-5</v>
          </cell>
          <cell r="AK81">
            <v>1.6219622226845191E-5</v>
          </cell>
          <cell r="AL81">
            <v>7.5519683398558043E-6</v>
          </cell>
          <cell r="AM81">
            <v>3.1603194496649149E-5</v>
          </cell>
          <cell r="AN81">
            <v>4.025060043067599E-7</v>
          </cell>
          <cell r="AO81">
            <v>2.3875119037065159E-5</v>
          </cell>
          <cell r="AP81">
            <v>1.303063865940722E-6</v>
          </cell>
          <cell r="AQ81">
            <v>2.2243342819756462E-6</v>
          </cell>
          <cell r="AR81">
            <v>1.9182840408564751E-5</v>
          </cell>
          <cell r="AS81">
            <v>4.5991277791087927E-6</v>
          </cell>
          <cell r="AT81">
            <v>1.452338308924587E-5</v>
          </cell>
          <cell r="AU81">
            <v>4.3146745738250533E-5</v>
          </cell>
          <cell r="AV81">
            <v>4.8975273568555963E-5</v>
          </cell>
          <cell r="AW81">
            <v>4.133569300687647E-5</v>
          </cell>
          <cell r="AX81">
            <v>4.959191920331708E-5</v>
          </cell>
          <cell r="AY81">
            <v>3.8531648602025347E-5</v>
          </cell>
          <cell r="AZ81">
            <v>3.6420371195069908E-6</v>
          </cell>
          <cell r="BA81">
            <v>4.3046811353358198E-5</v>
          </cell>
          <cell r="BB81">
            <v>3.3535848919222133E-5</v>
          </cell>
          <cell r="BC81">
            <v>3.5942642435139187E-5</v>
          </cell>
          <cell r="BD81">
            <v>2.5381229191980939E-5</v>
          </cell>
          <cell r="BE81">
            <v>4.3046811353358198E-5</v>
          </cell>
          <cell r="BF81">
            <v>-1.4087474038015381E-4</v>
          </cell>
          <cell r="BG81">
            <v>6.8379667203398847E-6</v>
          </cell>
          <cell r="BH81">
            <v>-3.3746029056463201E-6</v>
          </cell>
          <cell r="BI81">
            <v>4.2794861115694007E-5</v>
          </cell>
          <cell r="BJ81">
            <v>4.2065000803286262E-5</v>
          </cell>
          <cell r="BK81">
            <v>7.162582947891373E-5</v>
          </cell>
          <cell r="BL81">
            <v>-1.5008191446816951E-5</v>
          </cell>
          <cell r="BM81">
            <v>2.880717673799102E-5</v>
          </cell>
          <cell r="BN81">
            <v>5.5165826189936822E-5</v>
          </cell>
          <cell r="BO81">
            <v>2.2263626685727231E-5</v>
          </cell>
          <cell r="BP81">
            <v>4.884024249702305E-6</v>
          </cell>
          <cell r="BQ81">
            <v>4.884024249702305E-6</v>
          </cell>
          <cell r="BR81">
            <v>8.0069584037843514E-6</v>
          </cell>
          <cell r="BS81">
            <v>-2.2593604561907298E-6</v>
          </cell>
          <cell r="BT81">
            <v>3.8962582381373369E-5</v>
          </cell>
          <cell r="BU81">
            <v>3.2338304620748921E-5</v>
          </cell>
          <cell r="BV81">
            <v>4.0674961727319788E-5</v>
          </cell>
          <cell r="BW81">
            <v>6.21109323351928E-5</v>
          </cell>
          <cell r="BX81">
            <v>4.5100007449306707E-5</v>
          </cell>
          <cell r="BY81">
            <v>4.341555956562313E-5</v>
          </cell>
          <cell r="BZ81">
            <v>3.5807351029670051E-5</v>
          </cell>
          <cell r="CA81">
            <v>3.798394014773998E-6</v>
          </cell>
          <cell r="CB81">
            <v>4.1718396753229064E-6</v>
          </cell>
          <cell r="CC81">
            <v>1.3345857940665789E-4</v>
          </cell>
          <cell r="CD81">
            <v>2.278653406301747E-4</v>
          </cell>
          <cell r="CE81">
            <v>6.4899985367462352E-5</v>
          </cell>
        </row>
        <row r="82">
          <cell r="A82" t="str">
            <v>SI1 Comdty</v>
          </cell>
          <cell r="B82">
            <v>4.7059643109136723E-6</v>
          </cell>
          <cell r="C82">
            <v>-3.5484114998785642E-5</v>
          </cell>
          <cell r="D82">
            <v>-1.089062705620463E-4</v>
          </cell>
          <cell r="E82">
            <v>-4.4996318969483937E-5</v>
          </cell>
          <cell r="F82">
            <v>6.6785792968833627E-5</v>
          </cell>
          <cell r="G82">
            <v>2.800223838918471E-6</v>
          </cell>
          <cell r="H82">
            <v>3.1079714003168328E-5</v>
          </cell>
          <cell r="I82">
            <v>3.3399787979243199E-5</v>
          </cell>
          <cell r="J82">
            <v>6.66354754552535E-6</v>
          </cell>
          <cell r="K82">
            <v>2.1665159344166781E-5</v>
          </cell>
          <cell r="L82">
            <v>6.5126467822956656E-5</v>
          </cell>
          <cell r="M82">
            <v>-8.0541527538286167E-6</v>
          </cell>
          <cell r="N82">
            <v>-7.0820154273151142E-5</v>
          </cell>
          <cell r="O82">
            <v>-5.0042085714200257E-5</v>
          </cell>
          <cell r="P82">
            <v>-4.7151938310257857E-5</v>
          </cell>
          <cell r="Q82">
            <v>-5.8410808818261259E-5</v>
          </cell>
          <cell r="R82">
            <v>-6.7506137306852425E-5</v>
          </cell>
          <cell r="S82">
            <v>-4.3646914319010899E-5</v>
          </cell>
          <cell r="T82">
            <v>-5.166202634576786E-5</v>
          </cell>
          <cell r="U82">
            <v>2.279591691244937E-5</v>
          </cell>
          <cell r="V82">
            <v>4.5500916089388729E-5</v>
          </cell>
          <cell r="W82">
            <v>2.0311869392494779E-5</v>
          </cell>
          <cell r="X82">
            <v>-4.0549523436018048E-5</v>
          </cell>
          <cell r="Y82">
            <v>7.2610438121118578E-7</v>
          </cell>
          <cell r="Z82">
            <v>-4.3345385474160388E-7</v>
          </cell>
          <cell r="AA82">
            <v>5.9823975296052249E-6</v>
          </cell>
          <cell r="AB82">
            <v>2.459999924550061E-5</v>
          </cell>
          <cell r="AC82">
            <v>3.9164068438989962E-5</v>
          </cell>
          <cell r="AD82">
            <v>-1.597635092164912E-6</v>
          </cell>
          <cell r="AE82">
            <v>2.9623019088844132E-7</v>
          </cell>
          <cell r="AF82">
            <v>1.3895789681422911E-6</v>
          </cell>
          <cell r="AG82">
            <v>9.4813085307000689E-6</v>
          </cell>
          <cell r="AH82">
            <v>1.7726755813644499E-5</v>
          </cell>
          <cell r="AI82">
            <v>3.398642342737008E-5</v>
          </cell>
          <cell r="AJ82">
            <v>6.1017825057803668E-5</v>
          </cell>
          <cell r="AK82">
            <v>2.3745713037563371E-5</v>
          </cell>
          <cell r="AL82">
            <v>1.9423484261567129E-5</v>
          </cell>
          <cell r="AM82">
            <v>7.9717648087511428E-5</v>
          </cell>
          <cell r="AN82">
            <v>1.2464352609209269E-7</v>
          </cell>
          <cell r="AO82">
            <v>3.1894385392354229E-5</v>
          </cell>
          <cell r="AP82">
            <v>9.4551898127243938E-7</v>
          </cell>
          <cell r="AQ82">
            <v>2.561551057580323E-6</v>
          </cell>
          <cell r="AR82">
            <v>1.558318932733863E-5</v>
          </cell>
          <cell r="AS82">
            <v>5.1186160504368826E-6</v>
          </cell>
          <cell r="AT82">
            <v>1.869794442702878E-5</v>
          </cell>
          <cell r="AU82">
            <v>1.7636715076878979E-4</v>
          </cell>
          <cell r="AV82">
            <v>1.727733846575457E-4</v>
          </cell>
          <cell r="AW82">
            <v>1.8668701142354971E-4</v>
          </cell>
          <cell r="AX82">
            <v>2.5817969890445122E-4</v>
          </cell>
          <cell r="AY82">
            <v>2.0585678518327119E-4</v>
          </cell>
          <cell r="AZ82">
            <v>2.4628924609489128E-4</v>
          </cell>
          <cell r="BA82">
            <v>2.185839191198197E-4</v>
          </cell>
          <cell r="BB82">
            <v>1.7457925161820241E-4</v>
          </cell>
          <cell r="BC82">
            <v>1.969619330562713E-4</v>
          </cell>
          <cell r="BD82">
            <v>1.4330182155638369E-4</v>
          </cell>
          <cell r="BE82">
            <v>2.185839191198197E-4</v>
          </cell>
          <cell r="BF82">
            <v>-9.4727133930292676E-4</v>
          </cell>
          <cell r="BG82">
            <v>7.5072402657202274E-5</v>
          </cell>
          <cell r="BH82">
            <v>1.9407889800233361E-4</v>
          </cell>
          <cell r="BI82">
            <v>2.673729282587743E-4</v>
          </cell>
          <cell r="BJ82">
            <v>2.3270442267048349E-4</v>
          </cell>
          <cell r="BK82">
            <v>2.3958707457581989E-4</v>
          </cell>
          <cell r="BL82">
            <v>2.9691517362180088E-4</v>
          </cell>
          <cell r="BM82">
            <v>2.4941029002025302E-4</v>
          </cell>
          <cell r="BN82">
            <v>2.9704607562809892E-4</v>
          </cell>
          <cell r="BO82">
            <v>1.666233420732595E-4</v>
          </cell>
          <cell r="BP82">
            <v>1.265958468475786E-4</v>
          </cell>
          <cell r="BQ82">
            <v>1.265958468475786E-4</v>
          </cell>
          <cell r="BR82">
            <v>1.3157739707077599E-4</v>
          </cell>
          <cell r="BS82">
            <v>9.0342237608423032E-5</v>
          </cell>
          <cell r="BT82">
            <v>1.4124467631572451E-4</v>
          </cell>
          <cell r="BU82">
            <v>1.0282254604059529E-4</v>
          </cell>
          <cell r="BV82">
            <v>1.8534075129313809E-4</v>
          </cell>
          <cell r="BW82">
            <v>2.2291125400616461E-4</v>
          </cell>
          <cell r="BX82">
            <v>4.6231231187380021E-4</v>
          </cell>
          <cell r="BY82">
            <v>1.014037487860405E-4</v>
          </cell>
          <cell r="BZ82">
            <v>1.06689378479574E-4</v>
          </cell>
          <cell r="CA82">
            <v>5.3226434306868391E-5</v>
          </cell>
          <cell r="CB82">
            <v>1.2382355765406169E-4</v>
          </cell>
          <cell r="CC82">
            <v>2.278653406301747E-4</v>
          </cell>
          <cell r="CD82">
            <v>6.7652912101850353E-4</v>
          </cell>
          <cell r="CE82">
            <v>2.3230065013332861E-4</v>
          </cell>
        </row>
        <row r="83">
          <cell r="A83" t="str">
            <v>HG1 Comdty</v>
          </cell>
          <cell r="B83">
            <v>2.189687502075379E-5</v>
          </cell>
          <cell r="C83">
            <v>-2.9197641639130881E-5</v>
          </cell>
          <cell r="D83">
            <v>-7.9357913114068914E-5</v>
          </cell>
          <cell r="E83">
            <v>-3.0261503041862899E-5</v>
          </cell>
          <cell r="F83">
            <v>5.1520025384243733E-5</v>
          </cell>
          <cell r="G83">
            <v>4.0920605268267011E-6</v>
          </cell>
          <cell r="H83">
            <v>3.6964950653430942E-5</v>
          </cell>
          <cell r="I83">
            <v>1.4552839196543889E-5</v>
          </cell>
          <cell r="J83">
            <v>-7.7938975023947958E-6</v>
          </cell>
          <cell r="K83">
            <v>1.120356918038543E-5</v>
          </cell>
          <cell r="L83">
            <v>5.0206232274391188E-5</v>
          </cell>
          <cell r="M83">
            <v>-9.6867970547329654E-6</v>
          </cell>
          <cell r="N83">
            <v>-5.5314083584113588E-5</v>
          </cell>
          <cell r="O83">
            <v>-4.7399326365047791E-5</v>
          </cell>
          <cell r="P83">
            <v>-4.9019303380038823E-5</v>
          </cell>
          <cell r="Q83">
            <v>-6.6203965186719912E-5</v>
          </cell>
          <cell r="R83">
            <v>-6.8607921669894799E-5</v>
          </cell>
          <cell r="S83">
            <v>-3.5728985355987519E-5</v>
          </cell>
          <cell r="T83">
            <v>-7.7234155312494161E-5</v>
          </cell>
          <cell r="U83">
            <v>-2.0799985169982411E-6</v>
          </cell>
          <cell r="V83">
            <v>2.1838456668307929E-5</v>
          </cell>
          <cell r="W83">
            <v>1.468994510916165E-5</v>
          </cell>
          <cell r="X83">
            <v>5.9989657825404259E-6</v>
          </cell>
          <cell r="Y83">
            <v>2.6162648695148662E-6</v>
          </cell>
          <cell r="Z83">
            <v>1.218190081146324E-7</v>
          </cell>
          <cell r="AA83">
            <v>-1.466899465583968E-7</v>
          </cell>
          <cell r="AB83">
            <v>2.4887485033802872E-6</v>
          </cell>
          <cell r="AC83">
            <v>-1.3039330963563199E-5</v>
          </cell>
          <cell r="AD83">
            <v>-4.5444083772433382E-7</v>
          </cell>
          <cell r="AE83">
            <v>2.5338761667722651E-6</v>
          </cell>
          <cell r="AF83">
            <v>-6.5504148866921068E-7</v>
          </cell>
          <cell r="AG83">
            <v>-4.4403880927465226E-6</v>
          </cell>
          <cell r="AH83">
            <v>-7.9516764214656288E-6</v>
          </cell>
          <cell r="AI83">
            <v>-2.2552711200684879E-5</v>
          </cell>
          <cell r="AJ83">
            <v>-2.9864333581159139E-5</v>
          </cell>
          <cell r="AK83">
            <v>3.72715004602278E-6</v>
          </cell>
          <cell r="AL83">
            <v>7.0936270188322121E-6</v>
          </cell>
          <cell r="AM83">
            <v>2.3817920387129919E-5</v>
          </cell>
          <cell r="AN83">
            <v>-4.0429528868811691E-7</v>
          </cell>
          <cell r="AO83">
            <v>3.4719925900520679E-6</v>
          </cell>
          <cell r="AP83">
            <v>-5.7782243941598993E-7</v>
          </cell>
          <cell r="AQ83">
            <v>-1.0529355439563881E-6</v>
          </cell>
          <cell r="AR83">
            <v>-1.2470929576743481E-5</v>
          </cell>
          <cell r="AS83">
            <v>-2.3591849641621421E-7</v>
          </cell>
          <cell r="AT83">
            <v>-1.227455027974153E-6</v>
          </cell>
          <cell r="AU83">
            <v>1.3765955967216009E-4</v>
          </cell>
          <cell r="AV83">
            <v>1.264635069939462E-4</v>
          </cell>
          <cell r="AW83">
            <v>1.4464811430340421E-4</v>
          </cell>
          <cell r="AX83">
            <v>1.9513939055783029E-4</v>
          </cell>
          <cell r="AY83">
            <v>1.4907816224133861E-4</v>
          </cell>
          <cell r="AZ83">
            <v>2.6209559251101758E-4</v>
          </cell>
          <cell r="BA83">
            <v>1.4949051066210221E-4</v>
          </cell>
          <cell r="BB83">
            <v>1.300510233912221E-4</v>
          </cell>
          <cell r="BC83">
            <v>1.4827620810079709E-4</v>
          </cell>
          <cell r="BD83">
            <v>1.20795020079448E-4</v>
          </cell>
          <cell r="BE83">
            <v>1.4949051066210221E-4</v>
          </cell>
          <cell r="BF83">
            <v>-6.5782523846928383E-4</v>
          </cell>
          <cell r="BG83">
            <v>1.210619497473524E-4</v>
          </cell>
          <cell r="BH83">
            <v>2.2234722578330879E-4</v>
          </cell>
          <cell r="BI83">
            <v>2.0750675543706101E-4</v>
          </cell>
          <cell r="BJ83">
            <v>1.6381634292106641E-4</v>
          </cell>
          <cell r="BK83">
            <v>1.5311217564782911E-4</v>
          </cell>
          <cell r="BL83">
            <v>2.3264238500083441E-4</v>
          </cell>
          <cell r="BM83">
            <v>1.9847734743860069E-4</v>
          </cell>
          <cell r="BN83">
            <v>3.0669270605013552E-4</v>
          </cell>
          <cell r="BO83">
            <v>1.5168559902863839E-4</v>
          </cell>
          <cell r="BP83">
            <v>1.2008320171551281E-4</v>
          </cell>
          <cell r="BQ83">
            <v>1.2008320171551281E-4</v>
          </cell>
          <cell r="BR83">
            <v>1.1910322013640851E-4</v>
          </cell>
          <cell r="BS83">
            <v>8.8660246821269012E-5</v>
          </cell>
          <cell r="BT83">
            <v>1.2705277253010231E-4</v>
          </cell>
          <cell r="BU83">
            <v>9.6713252594167432E-5</v>
          </cell>
          <cell r="BV83">
            <v>1.5442332535935821E-4</v>
          </cell>
          <cell r="BW83">
            <v>1.774541593055112E-4</v>
          </cell>
          <cell r="BX83">
            <v>3.7251986347002771E-4</v>
          </cell>
          <cell r="BY83">
            <v>8.2070811269376878E-5</v>
          </cell>
          <cell r="BZ83">
            <v>1.2249580720042751E-4</v>
          </cell>
          <cell r="CA83">
            <v>8.4672669309104659E-5</v>
          </cell>
          <cell r="CB83">
            <v>1.4102210086727461E-4</v>
          </cell>
          <cell r="CC83">
            <v>6.4899985367462352E-5</v>
          </cell>
          <cell r="CD83">
            <v>2.3230065013332861E-4</v>
          </cell>
          <cell r="CE83">
            <v>3.2240072860150972E-4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Fixing"/>
      <sheetName val="Sheet1"/>
    </sheetNames>
    <sheetDataSet>
      <sheetData sheetId="0">
        <row r="6">
          <cell r="G6">
            <v>5.6165593787351142E-2</v>
          </cell>
          <cell r="H6">
            <v>7.067163892723502E-2</v>
          </cell>
        </row>
        <row r="7">
          <cell r="F7" t="str">
            <v>EUR</v>
          </cell>
          <cell r="G7">
            <v>8.8641554803810321E-2</v>
          </cell>
          <cell r="H7">
            <v>0.10348817843292779</v>
          </cell>
        </row>
        <row r="8">
          <cell r="F8" t="str">
            <v>CHF</v>
          </cell>
          <cell r="G8">
            <v>-0.11832929218440144</v>
          </cell>
          <cell r="H8">
            <v>-0.11842393148077074</v>
          </cell>
          <cell r="Z8" t="str">
            <v>ER</v>
          </cell>
          <cell r="AA8" t="str">
            <v/>
          </cell>
          <cell r="AB8" t="str">
            <v>0-1</v>
          </cell>
          <cell r="AC8" t="str">
            <v>EUR</v>
          </cell>
          <cell r="AD8">
            <v>0</v>
          </cell>
          <cell r="AE8" t="str">
            <v/>
          </cell>
          <cell r="AF8">
            <v>0</v>
          </cell>
          <cell r="AN8" t="str">
            <v>ES</v>
          </cell>
          <cell r="AO8" t="str">
            <v/>
          </cell>
          <cell r="AP8" t="str">
            <v>USD</v>
          </cell>
          <cell r="AQ8">
            <v>0</v>
          </cell>
          <cell r="AR8">
            <v>0</v>
          </cell>
          <cell r="AY8" t="str">
            <v>CL</v>
          </cell>
          <cell r="AZ8" t="str">
            <v/>
          </cell>
          <cell r="BA8" t="str">
            <v>USD</v>
          </cell>
          <cell r="BB8">
            <v>0</v>
          </cell>
        </row>
        <row r="9">
          <cell r="F9" t="str">
            <v>GBP</v>
          </cell>
          <cell r="G9">
            <v>8.5853331167942262E-2</v>
          </cell>
          <cell r="H9">
            <v>8.5607391975077968E-2</v>
          </cell>
          <cell r="Z9" t="str">
            <v>DU</v>
          </cell>
          <cell r="AA9" t="str">
            <v/>
          </cell>
          <cell r="AB9" t="str">
            <v>1-3</v>
          </cell>
          <cell r="AC9" t="str">
            <v>EUR</v>
          </cell>
          <cell r="AD9">
            <v>0</v>
          </cell>
          <cell r="AE9" t="str">
            <v/>
          </cell>
          <cell r="AF9">
            <v>0</v>
          </cell>
          <cell r="AN9" t="str">
            <v>NQ</v>
          </cell>
          <cell r="AO9">
            <v>15</v>
          </cell>
          <cell r="AP9" t="str">
            <v>USD</v>
          </cell>
          <cell r="AQ9">
            <v>0.1614342867413352</v>
          </cell>
          <cell r="AR9">
            <v>6.2469574861573944E-2</v>
          </cell>
          <cell r="AY9" t="str">
            <v xml:space="preserve">W </v>
          </cell>
          <cell r="AZ9" t="str">
            <v/>
          </cell>
          <cell r="BA9" t="str">
            <v>USD</v>
          </cell>
          <cell r="BB9">
            <v>0</v>
          </cell>
        </row>
        <row r="10">
          <cell r="F10" t="str">
            <v>NOK</v>
          </cell>
          <cell r="G10">
            <v>0</v>
          </cell>
          <cell r="H10">
            <v>0</v>
          </cell>
          <cell r="Z10" t="str">
            <v>OE</v>
          </cell>
          <cell r="AA10" t="str">
            <v/>
          </cell>
          <cell r="AB10" t="str">
            <v>3-7</v>
          </cell>
          <cell r="AC10" t="str">
            <v>EUR</v>
          </cell>
          <cell r="AD10">
            <v>0</v>
          </cell>
          <cell r="AE10" t="str">
            <v/>
          </cell>
          <cell r="AF10">
            <v>0</v>
          </cell>
          <cell r="AN10" t="str">
            <v>DM</v>
          </cell>
          <cell r="AO10" t="str">
            <v/>
          </cell>
          <cell r="AP10" t="str">
            <v>USD</v>
          </cell>
          <cell r="AQ10">
            <v>0</v>
          </cell>
          <cell r="AR10">
            <v>0</v>
          </cell>
          <cell r="AY10" t="str">
            <v xml:space="preserve">S </v>
          </cell>
          <cell r="AZ10" t="str">
            <v/>
          </cell>
          <cell r="BA10" t="str">
            <v>USD</v>
          </cell>
          <cell r="BB10">
            <v>0</v>
          </cell>
        </row>
        <row r="11">
          <cell r="F11" t="str">
            <v>SEK</v>
          </cell>
          <cell r="G11">
            <v>0</v>
          </cell>
          <cell r="H11">
            <v>0</v>
          </cell>
          <cell r="Z11" t="str">
            <v>RX</v>
          </cell>
          <cell r="AA11">
            <v>20</v>
          </cell>
          <cell r="AB11" t="str">
            <v>7-15</v>
          </cell>
          <cell r="AC11" t="str">
            <v>EUR</v>
          </cell>
          <cell r="AD11">
            <v>0.1381013255221088</v>
          </cell>
          <cell r="AE11">
            <v>110.58814650055513</v>
          </cell>
          <cell r="AF11">
            <v>0</v>
          </cell>
          <cell r="AN11" t="str">
            <v>RTY</v>
          </cell>
          <cell r="AO11" t="str">
            <v/>
          </cell>
          <cell r="AP11" t="str">
            <v>USD</v>
          </cell>
          <cell r="AQ11">
            <v>0</v>
          </cell>
          <cell r="AR11">
            <v>0</v>
          </cell>
          <cell r="AY11" t="str">
            <v xml:space="preserve">C </v>
          </cell>
          <cell r="AZ11" t="str">
            <v/>
          </cell>
          <cell r="BA11" t="str">
            <v>USD</v>
          </cell>
          <cell r="BB11">
            <v>0</v>
          </cell>
        </row>
        <row r="12">
          <cell r="G12">
            <v>-0.30135795338695515</v>
          </cell>
          <cell r="H12">
            <v>-0.29979554086266119</v>
          </cell>
          <cell r="Z12" t="str">
            <v>UB</v>
          </cell>
          <cell r="AA12" t="str">
            <v/>
          </cell>
          <cell r="AB12" t="str">
            <v>15+</v>
          </cell>
          <cell r="AC12" t="str">
            <v>EUR</v>
          </cell>
          <cell r="AD12">
            <v>0</v>
          </cell>
          <cell r="AE12" t="str">
            <v/>
          </cell>
          <cell r="AF12">
            <v>0</v>
          </cell>
          <cell r="AN12" t="str">
            <v>VG</v>
          </cell>
          <cell r="AO12" t="str">
            <v/>
          </cell>
          <cell r="AP12" t="str">
            <v>EUR</v>
          </cell>
          <cell r="AQ12">
            <v>0</v>
          </cell>
          <cell r="AR12">
            <v>0</v>
          </cell>
          <cell r="AY12" t="str">
            <v>NG</v>
          </cell>
          <cell r="AZ12">
            <v>4</v>
          </cell>
          <cell r="BA12" t="str">
            <v>USD</v>
          </cell>
          <cell r="BB12">
            <v>7.6696314022241634E-3</v>
          </cell>
        </row>
        <row r="13">
          <cell r="F13" t="str">
            <v>USD</v>
          </cell>
          <cell r="G13">
            <v>-0.30135795338695515</v>
          </cell>
          <cell r="H13">
            <v>-0.29979554086266119</v>
          </cell>
          <cell r="Z13" t="str">
            <v>FF</v>
          </cell>
          <cell r="AA13" t="str">
            <v/>
          </cell>
          <cell r="AB13" t="str">
            <v>0-1</v>
          </cell>
          <cell r="AC13" t="str">
            <v>USD</v>
          </cell>
          <cell r="AD13">
            <v>0</v>
          </cell>
          <cell r="AE13" t="str">
            <v/>
          </cell>
          <cell r="AF13">
            <v>0</v>
          </cell>
          <cell r="AN13" t="str">
            <v>CA</v>
          </cell>
          <cell r="AO13">
            <v>50</v>
          </cell>
          <cell r="AP13" t="str">
            <v>EUR</v>
          </cell>
          <cell r="AQ13">
            <v>1.3149148533952429E-2</v>
          </cell>
          <cell r="AR13">
            <v>4.3389333820619769E-2</v>
          </cell>
          <cell r="AY13" t="str">
            <v>GC</v>
          </cell>
          <cell r="AZ13" t="str">
            <v/>
          </cell>
          <cell r="BA13" t="str">
            <v>USD</v>
          </cell>
          <cell r="BB13">
            <v>0</v>
          </cell>
        </row>
        <row r="14">
          <cell r="F14" t="str">
            <v>ILS</v>
          </cell>
          <cell r="G14">
            <v>0</v>
          </cell>
          <cell r="H14">
            <v>0</v>
          </cell>
          <cell r="Z14" t="str">
            <v>ED</v>
          </cell>
          <cell r="AA14" t="str">
            <v/>
          </cell>
          <cell r="AB14" t="str">
            <v>0-1</v>
          </cell>
          <cell r="AC14" t="str">
            <v>USD</v>
          </cell>
          <cell r="AD14">
            <v>0</v>
          </cell>
          <cell r="AE14" t="str">
            <v/>
          </cell>
          <cell r="AF14">
            <v>0</v>
          </cell>
          <cell r="AN14" t="str">
            <v>GX</v>
          </cell>
          <cell r="AO14" t="str">
            <v/>
          </cell>
          <cell r="AP14" t="str">
            <v>EUR</v>
          </cell>
          <cell r="AQ14">
            <v>0</v>
          </cell>
          <cell r="AR14">
            <v>0</v>
          </cell>
          <cell r="AY14" t="str">
            <v>SI</v>
          </cell>
          <cell r="AZ14" t="str">
            <v/>
          </cell>
          <cell r="BA14" t="str">
            <v>USD</v>
          </cell>
          <cell r="BB14">
            <v>0</v>
          </cell>
        </row>
        <row r="15">
          <cell r="G15">
            <v>9.4663433747521133E-2</v>
          </cell>
          <cell r="H15">
            <v>9.7904429930802339E-2</v>
          </cell>
          <cell r="Z15" t="str">
            <v>TU</v>
          </cell>
          <cell r="AA15">
            <v>51</v>
          </cell>
          <cell r="AB15" t="str">
            <v>1-3</v>
          </cell>
          <cell r="AC15" t="str">
            <v>USD</v>
          </cell>
          <cell r="AD15">
            <v>0.49709728889725163</v>
          </cell>
          <cell r="AE15">
            <v>93.164112499953575</v>
          </cell>
          <cell r="AF15">
            <v>0</v>
          </cell>
          <cell r="AN15" t="str">
            <v>SXO</v>
          </cell>
          <cell r="AO15" t="str">
            <v/>
          </cell>
          <cell r="AP15" t="str">
            <v>EUR</v>
          </cell>
          <cell r="AQ15">
            <v>0</v>
          </cell>
          <cell r="AR15">
            <v>0</v>
          </cell>
          <cell r="AY15" t="str">
            <v>HG</v>
          </cell>
          <cell r="AZ15">
            <v>5</v>
          </cell>
          <cell r="BA15" t="str">
            <v>USD</v>
          </cell>
          <cell r="BB15">
            <v>2.3869976465898383E-2</v>
          </cell>
        </row>
        <row r="16">
          <cell r="F16" t="str">
            <v>JPY</v>
          </cell>
          <cell r="G16">
            <v>9.4663433747521133E-2</v>
          </cell>
          <cell r="H16">
            <v>9.7752924813824416E-2</v>
          </cell>
          <cell r="Z16" t="str">
            <v>FV</v>
          </cell>
          <cell r="AA16">
            <v>20</v>
          </cell>
          <cell r="AB16" t="str">
            <v>3-7</v>
          </cell>
          <cell r="AC16" t="str">
            <v>USD</v>
          </cell>
          <cell r="AD16">
            <v>0.10349375717678211</v>
          </cell>
          <cell r="AE16">
            <v>44.909553402975902</v>
          </cell>
          <cell r="AF16">
            <v>0</v>
          </cell>
          <cell r="AN16" t="str">
            <v>CF</v>
          </cell>
          <cell r="AO16" t="str">
            <v/>
          </cell>
          <cell r="AP16" t="str">
            <v>EUR</v>
          </cell>
          <cell r="AQ16">
            <v>0</v>
          </cell>
          <cell r="AR16">
            <v>0</v>
          </cell>
        </row>
        <row r="17">
          <cell r="F17" t="str">
            <v>CNH</v>
          </cell>
          <cell r="G17">
            <v>0</v>
          </cell>
          <cell r="H17">
            <v>1.5150511697792132E-4</v>
          </cell>
          <cell r="Z17" t="str">
            <v>TY</v>
          </cell>
          <cell r="AA17">
            <v>-27</v>
          </cell>
          <cell r="AB17" t="str">
            <v>7-15</v>
          </cell>
          <cell r="AC17" t="str">
            <v>USD</v>
          </cell>
          <cell r="AD17">
            <v>-0.14654565146384813</v>
          </cell>
          <cell r="AE17">
            <v>-112.5461202327992</v>
          </cell>
          <cell r="AF17">
            <v>0</v>
          </cell>
          <cell r="AN17" t="str">
            <v xml:space="preserve">Z </v>
          </cell>
          <cell r="AO17" t="str">
            <v/>
          </cell>
          <cell r="AP17" t="str">
            <v>Others</v>
          </cell>
          <cell r="AQ17">
            <v>0</v>
          </cell>
          <cell r="AR17">
            <v>0</v>
          </cell>
        </row>
        <row r="18">
          <cell r="F18" t="str">
            <v>KRW</v>
          </cell>
          <cell r="G18">
            <v>0</v>
          </cell>
          <cell r="H18">
            <v>0</v>
          </cell>
          <cell r="Z18" t="str">
            <v>US</v>
          </cell>
          <cell r="AA18" t="str">
            <v/>
          </cell>
          <cell r="AB18" t="str">
            <v>7-15</v>
          </cell>
          <cell r="AC18" t="str">
            <v>USD</v>
          </cell>
          <cell r="AD18">
            <v>0</v>
          </cell>
          <cell r="AE18" t="str">
            <v/>
          </cell>
          <cell r="AF18">
            <v>0</v>
          </cell>
          <cell r="AN18" t="str">
            <v>DFW</v>
          </cell>
          <cell r="AO18" t="str">
            <v/>
          </cell>
          <cell r="AP18" t="str">
            <v>EUR</v>
          </cell>
          <cell r="AQ18">
            <v>0</v>
          </cell>
          <cell r="AR18">
            <v>0</v>
          </cell>
        </row>
        <row r="19">
          <cell r="F19" t="str">
            <v>SGD</v>
          </cell>
          <cell r="G19">
            <v>0</v>
          </cell>
          <cell r="H19">
            <v>0</v>
          </cell>
          <cell r="Z19" t="str">
            <v>WN</v>
          </cell>
          <cell r="AA19" t="str">
            <v/>
          </cell>
          <cell r="AB19" t="str">
            <v>15+</v>
          </cell>
          <cell r="AC19" t="str">
            <v>USD</v>
          </cell>
          <cell r="AD19">
            <v>0</v>
          </cell>
          <cell r="AE19" t="str">
            <v/>
          </cell>
          <cell r="AF19">
            <v>0</v>
          </cell>
          <cell r="AN19" t="str">
            <v>FVS</v>
          </cell>
          <cell r="AO19" t="str">
            <v/>
          </cell>
          <cell r="AP19" t="str">
            <v>EUR</v>
          </cell>
          <cell r="AQ19">
            <v>0</v>
          </cell>
          <cell r="AR19">
            <v>0</v>
          </cell>
        </row>
        <row r="20">
          <cell r="F20" t="str">
            <v>HKD</v>
          </cell>
          <cell r="G20">
            <v>0</v>
          </cell>
          <cell r="H20">
            <v>0</v>
          </cell>
          <cell r="Z20" t="str">
            <v>OAT</v>
          </cell>
          <cell r="AA20" t="str">
            <v/>
          </cell>
          <cell r="AB20" t="str">
            <v>7-15</v>
          </cell>
          <cell r="AC20" t="str">
            <v>EUR</v>
          </cell>
          <cell r="AD20">
            <v>0</v>
          </cell>
          <cell r="AE20" t="str">
            <v/>
          </cell>
          <cell r="AF20">
            <v>0</v>
          </cell>
          <cell r="AN20" t="str">
            <v>DED</v>
          </cell>
          <cell r="AO20" t="str">
            <v/>
          </cell>
          <cell r="AP20" t="str">
            <v>EUR</v>
          </cell>
          <cell r="AQ20">
            <v>0</v>
          </cell>
          <cell r="AR20">
            <v>0</v>
          </cell>
        </row>
        <row r="21">
          <cell r="G21">
            <v>0.14078965552307604</v>
          </cell>
          <cell r="H21">
            <v>0.13132685073159842</v>
          </cell>
          <cell r="Z21" t="str">
            <v>BTS</v>
          </cell>
          <cell r="AA21" t="str">
            <v/>
          </cell>
          <cell r="AB21" t="str">
            <v>1-3</v>
          </cell>
          <cell r="AC21" t="str">
            <v>EUR</v>
          </cell>
          <cell r="AD21">
            <v>0</v>
          </cell>
          <cell r="AE21" t="str">
            <v/>
          </cell>
          <cell r="AF21">
            <v>0</v>
          </cell>
          <cell r="AN21" t="str">
            <v>BJ</v>
          </cell>
          <cell r="AO21" t="str">
            <v/>
          </cell>
          <cell r="AP21" t="str">
            <v>EUR</v>
          </cell>
          <cell r="AQ21">
            <v>0</v>
          </cell>
          <cell r="AR21">
            <v>0</v>
          </cell>
        </row>
        <row r="22">
          <cell r="F22" t="str">
            <v>CAD</v>
          </cell>
          <cell r="G22">
            <v>5.944992095081178E-2</v>
          </cell>
          <cell r="H22">
            <v>4.9344375657036255E-2</v>
          </cell>
          <cell r="Z22" t="str">
            <v>IK</v>
          </cell>
          <cell r="AA22" t="str">
            <v/>
          </cell>
          <cell r="AB22" t="str">
            <v>7-15</v>
          </cell>
          <cell r="AC22" t="str">
            <v>EUR</v>
          </cell>
          <cell r="AD22">
            <v>0</v>
          </cell>
          <cell r="AE22" t="str">
            <v/>
          </cell>
          <cell r="AF22">
            <v>0</v>
          </cell>
          <cell r="AN22" t="str">
            <v>KG</v>
          </cell>
          <cell r="AO22" t="str">
            <v/>
          </cell>
          <cell r="AP22" t="str">
            <v>EUR</v>
          </cell>
          <cell r="AQ22">
            <v>0</v>
          </cell>
          <cell r="AR22">
            <v>0</v>
          </cell>
        </row>
        <row r="23">
          <cell r="F23" t="str">
            <v>AUD</v>
          </cell>
          <cell r="G23">
            <v>8.1339734572264275E-2</v>
          </cell>
          <cell r="H23">
            <v>8.129196474463761E-2</v>
          </cell>
          <cell r="Z23" t="str">
            <v xml:space="preserve">L </v>
          </cell>
          <cell r="AA23" t="str">
            <v/>
          </cell>
          <cell r="AB23" t="str">
            <v>0-1</v>
          </cell>
          <cell r="AC23" t="str">
            <v>Others</v>
          </cell>
          <cell r="AD23">
            <v>0</v>
          </cell>
          <cell r="AE23" t="str">
            <v/>
          </cell>
          <cell r="AF23">
            <v>0</v>
          </cell>
          <cell r="AN23" t="str">
            <v>QB</v>
          </cell>
          <cell r="AO23" t="str">
            <v/>
          </cell>
          <cell r="AP23" t="str">
            <v>EUR</v>
          </cell>
          <cell r="AQ23">
            <v>0</v>
          </cell>
          <cell r="AR23">
            <v>0</v>
          </cell>
        </row>
        <row r="24">
          <cell r="F24" t="str">
            <v>NZD</v>
          </cell>
          <cell r="G24">
            <v>0</v>
          </cell>
          <cell r="H24">
            <v>6.9051032992453471E-4</v>
          </cell>
          <cell r="Z24" t="str">
            <v xml:space="preserve">G </v>
          </cell>
          <cell r="AA24" t="str">
            <v/>
          </cell>
          <cell r="AB24" t="str">
            <v>7-15</v>
          </cell>
          <cell r="AC24" t="str">
            <v>Others</v>
          </cell>
          <cell r="AD24">
            <v>0</v>
          </cell>
          <cell r="AE24" t="str">
            <v/>
          </cell>
          <cell r="AF24">
            <v>0</v>
          </cell>
          <cell r="AN24" t="str">
            <v>SRD</v>
          </cell>
          <cell r="AO24" t="str">
            <v/>
          </cell>
          <cell r="AP24" t="str">
            <v>EUR</v>
          </cell>
          <cell r="AQ24">
            <v>0</v>
          </cell>
          <cell r="AR24">
            <v>0</v>
          </cell>
        </row>
        <row r="25">
          <cell r="G25">
            <v>-1.0206455231992029E-3</v>
          </cell>
          <cell r="H25">
            <v>5.8769969913935081E-4</v>
          </cell>
          <cell r="Z25" t="str">
            <v>YM</v>
          </cell>
          <cell r="AA25" t="str">
            <v/>
          </cell>
          <cell r="AB25" t="str">
            <v>1-3</v>
          </cell>
          <cell r="AC25" t="str">
            <v>Others</v>
          </cell>
          <cell r="AD25">
            <v>0</v>
          </cell>
          <cell r="AE25" t="str">
            <v/>
          </cell>
          <cell r="AF25">
            <v>0</v>
          </cell>
          <cell r="AN25" t="str">
            <v>DBE</v>
          </cell>
          <cell r="AO25" t="str">
            <v/>
          </cell>
          <cell r="AP25" t="str">
            <v>EUR</v>
          </cell>
          <cell r="AQ25">
            <v>0</v>
          </cell>
          <cell r="AR25">
            <v>0</v>
          </cell>
        </row>
        <row r="26">
          <cell r="F26" t="str">
            <v>BRL</v>
          </cell>
          <cell r="G26">
            <v>0</v>
          </cell>
          <cell r="H26">
            <v>0</v>
          </cell>
          <cell r="Z26" t="str">
            <v>XM</v>
          </cell>
          <cell r="AA26" t="str">
            <v/>
          </cell>
          <cell r="AB26" t="str">
            <v>7-15</v>
          </cell>
          <cell r="AC26" t="str">
            <v>Others</v>
          </cell>
          <cell r="AD26">
            <v>0</v>
          </cell>
          <cell r="AE26" t="str">
            <v/>
          </cell>
          <cell r="AF26">
            <v>0</v>
          </cell>
          <cell r="AN26" t="str">
            <v>SX</v>
          </cell>
          <cell r="AO26" t="str">
            <v/>
          </cell>
          <cell r="AP26" t="str">
            <v>EUR</v>
          </cell>
          <cell r="AQ26">
            <v>0</v>
          </cell>
          <cell r="AR26">
            <v>0</v>
          </cell>
        </row>
        <row r="27">
          <cell r="F27" t="str">
            <v>CLP</v>
          </cell>
          <cell r="G27">
            <v>0</v>
          </cell>
          <cell r="H27">
            <v>0</v>
          </cell>
          <cell r="Z27" t="str">
            <v>CN</v>
          </cell>
          <cell r="AA27" t="str">
            <v/>
          </cell>
          <cell r="AB27" t="str">
            <v>7-15</v>
          </cell>
          <cell r="AC27" t="str">
            <v>Others</v>
          </cell>
          <cell r="AD27">
            <v>0</v>
          </cell>
          <cell r="AE27" t="str">
            <v/>
          </cell>
          <cell r="AF27">
            <v>0</v>
          </cell>
          <cell r="AN27" t="str">
            <v>JS</v>
          </cell>
          <cell r="AO27" t="str">
            <v/>
          </cell>
          <cell r="AP27" t="str">
            <v>EUR</v>
          </cell>
          <cell r="AQ27">
            <v>0</v>
          </cell>
          <cell r="AR27">
            <v>0</v>
          </cell>
        </row>
        <row r="28">
          <cell r="F28" t="str">
            <v>COP</v>
          </cell>
          <cell r="G28">
            <v>0</v>
          </cell>
          <cell r="H28">
            <v>0</v>
          </cell>
          <cell r="Z28" t="str">
            <v>JB</v>
          </cell>
          <cell r="AA28">
            <v>-2</v>
          </cell>
          <cell r="AB28" t="str">
            <v>7-15</v>
          </cell>
          <cell r="AC28" t="str">
            <v>Others</v>
          </cell>
          <cell r="AD28">
            <v>-0.10474485106593472</v>
          </cell>
          <cell r="AE28">
            <v>-95.671408156597394</v>
          </cell>
          <cell r="AF28">
            <v>0</v>
          </cell>
          <cell r="AN28" t="str">
            <v>IB</v>
          </cell>
          <cell r="AO28" t="str">
            <v/>
          </cell>
          <cell r="AP28" t="str">
            <v>EUR</v>
          </cell>
          <cell r="AQ28">
            <v>0</v>
          </cell>
          <cell r="AR28">
            <v>0</v>
          </cell>
        </row>
        <row r="29">
          <cell r="F29" t="str">
            <v>MXN</v>
          </cell>
          <cell r="G29">
            <v>-1.0206455231992029E-3</v>
          </cell>
          <cell r="H29">
            <v>5.6765034579067631E-4</v>
          </cell>
          <cell r="Z29" t="str">
            <v>KAA</v>
          </cell>
          <cell r="AA29" t="str">
            <v/>
          </cell>
          <cell r="AB29" t="str">
            <v>7-15</v>
          </cell>
          <cell r="AC29" t="str">
            <v>Others</v>
          </cell>
          <cell r="AD29">
            <v>0</v>
          </cell>
          <cell r="AE29" t="str">
            <v/>
          </cell>
          <cell r="AF29">
            <v>0</v>
          </cell>
          <cell r="AN29" t="str">
            <v>NO</v>
          </cell>
          <cell r="AO29" t="str">
            <v/>
          </cell>
          <cell r="AP29" t="str">
            <v>JPY</v>
          </cell>
          <cell r="AQ29">
            <v>0</v>
          </cell>
          <cell r="AR29">
            <v>0</v>
          </cell>
        </row>
        <row r="30">
          <cell r="F30" t="str">
            <v>ZAR</v>
          </cell>
          <cell r="G30">
            <v>0</v>
          </cell>
          <cell r="H30">
            <v>2.0049353348674526E-5</v>
          </cell>
          <cell r="AN30" t="str">
            <v>NK</v>
          </cell>
          <cell r="AO30" t="str">
            <v/>
          </cell>
          <cell r="AP30" t="str">
            <v>JPY</v>
          </cell>
          <cell r="AQ30">
            <v>0</v>
          </cell>
          <cell r="AR30">
            <v>0</v>
          </cell>
        </row>
        <row r="31">
          <cell r="F31" t="str">
            <v>IDR</v>
          </cell>
          <cell r="G31">
            <v>0</v>
          </cell>
          <cell r="H31">
            <v>0</v>
          </cell>
          <cell r="AN31" t="str">
            <v>NX</v>
          </cell>
          <cell r="AO31" t="str">
            <v/>
          </cell>
          <cell r="AP31" t="str">
            <v>JPY</v>
          </cell>
          <cell r="AQ31">
            <v>0</v>
          </cell>
          <cell r="AR31">
            <v>0</v>
          </cell>
        </row>
        <row r="32">
          <cell r="F32" t="str">
            <v>INR</v>
          </cell>
          <cell r="G32">
            <v>0</v>
          </cell>
          <cell r="H32">
            <v>0</v>
          </cell>
          <cell r="AN32" t="str">
            <v>TP</v>
          </cell>
          <cell r="AO32" t="str">
            <v/>
          </cell>
          <cell r="AP32" t="str">
            <v>JPY</v>
          </cell>
          <cell r="AQ32">
            <v>0</v>
          </cell>
          <cell r="AR32">
            <v>0</v>
          </cell>
        </row>
        <row r="33">
          <cell r="F33" t="str">
            <v>MYR</v>
          </cell>
          <cell r="G33">
            <v>0</v>
          </cell>
          <cell r="H33">
            <v>0</v>
          </cell>
          <cell r="AN33" t="str">
            <v>HI</v>
          </cell>
          <cell r="AO33" t="str">
            <v/>
          </cell>
          <cell r="AP33" t="str">
            <v>Others</v>
          </cell>
          <cell r="AQ33">
            <v>0</v>
          </cell>
          <cell r="AR33">
            <v>0</v>
          </cell>
        </row>
        <row r="34">
          <cell r="F34" t="str">
            <v>TRY</v>
          </cell>
          <cell r="G34">
            <v>0</v>
          </cell>
          <cell r="H34">
            <v>0</v>
          </cell>
          <cell r="AN34" t="str">
            <v>XU</v>
          </cell>
          <cell r="AO34" t="str">
            <v/>
          </cell>
          <cell r="AP34" t="str">
            <v>Others</v>
          </cell>
          <cell r="AQ34">
            <v>0</v>
          </cell>
          <cell r="AR34">
            <v>0</v>
          </cell>
        </row>
        <row r="35">
          <cell r="AN35" t="str">
            <v>KM</v>
          </cell>
          <cell r="AO35" t="str">
            <v/>
          </cell>
          <cell r="AP35" t="str">
            <v>Others</v>
          </cell>
          <cell r="AQ35">
            <v>0</v>
          </cell>
          <cell r="AR35">
            <v>0</v>
          </cell>
        </row>
        <row r="36">
          <cell r="AN36" t="str">
            <v>MES</v>
          </cell>
          <cell r="AO36">
            <v>30</v>
          </cell>
          <cell r="AP36" t="str">
            <v>Others</v>
          </cell>
          <cell r="AQ36">
            <v>7.3113303054897952E-2</v>
          </cell>
          <cell r="AR36">
            <v>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59B01-722D-4D90-BC85-245A2335C46E}">
  <sheetPr codeName="Sheet2"/>
  <dimension ref="A1:B5"/>
  <sheetViews>
    <sheetView tabSelected="1" workbookViewId="0">
      <selection activeCell="J7" sqref="J7"/>
    </sheetView>
  </sheetViews>
  <sheetFormatPr defaultRowHeight="15"/>
  <cols>
    <col min="1" max="1" width="18.140625" bestFit="1" customWidth="1"/>
    <col min="2" max="2" width="32.85546875" bestFit="1" customWidth="1"/>
  </cols>
  <sheetData>
    <row r="1" spans="1:2">
      <c r="A1" s="8" t="s">
        <v>202</v>
      </c>
      <c r="B1" s="7">
        <f ca="1">+NOW()</f>
        <v>44937.773686458335</v>
      </c>
    </row>
    <row r="2" spans="1:2">
      <c r="A2" s="8" t="s">
        <v>198</v>
      </c>
      <c r="B2" t="s">
        <v>203</v>
      </c>
    </row>
    <row r="3" spans="1:2">
      <c r="A3" s="8" t="s">
        <v>199</v>
      </c>
      <c r="B3" t="s">
        <v>204</v>
      </c>
    </row>
    <row r="4" spans="1:2">
      <c r="A4" s="8" t="s">
        <v>200</v>
      </c>
      <c r="B4" s="7">
        <v>44935.622719907406</v>
      </c>
    </row>
    <row r="5" spans="1:2">
      <c r="A5" s="8" t="s">
        <v>201</v>
      </c>
      <c r="B5" s="9">
        <v>44930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5C3AC-D5CD-4ED4-AED6-996E4A399CD0}">
  <sheetPr codeName="Sheet1"/>
  <dimension ref="A1:G85"/>
  <sheetViews>
    <sheetView workbookViewId="0">
      <selection activeCell="I80" sqref="I80"/>
    </sheetView>
  </sheetViews>
  <sheetFormatPr defaultRowHeight="15"/>
  <cols>
    <col min="6" max="6" width="18.7109375" bestFit="1" customWidth="1"/>
    <col min="7" max="7" width="15.7109375" bestFit="1" customWidth="1"/>
  </cols>
  <sheetData>
    <row r="1" spans="1:7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10" t="s">
        <v>205</v>
      </c>
      <c r="G1" s="10" t="s">
        <v>206</v>
      </c>
    </row>
    <row r="2" spans="1:7" ht="15.75" thickBot="1">
      <c r="A2" s="5" t="s">
        <v>5</v>
      </c>
      <c r="B2" s="2" t="s">
        <v>6</v>
      </c>
      <c r="C2" s="3" t="s">
        <v>7</v>
      </c>
      <c r="D2" s="1" t="s">
        <v>8</v>
      </c>
      <c r="E2" s="1"/>
    </row>
    <row r="3" spans="1:7" ht="16.5" thickTop="1" thickBot="1">
      <c r="A3" s="5" t="s">
        <v>5</v>
      </c>
      <c r="B3" s="2" t="s">
        <v>6</v>
      </c>
      <c r="C3" s="3" t="s">
        <v>9</v>
      </c>
      <c r="D3" s="1" t="s">
        <v>10</v>
      </c>
      <c r="E3" s="6">
        <v>0.12008037119517984</v>
      </c>
      <c r="F3" s="11">
        <f t="array" ref="F3:F84">+simulate_iVaR_static(D3:E84,[1]Sheet1!$A$1:$CE$83)</f>
        <v>8.6259608123029352E-4</v>
      </c>
      <c r="G3" s="11">
        <f t="array" ref="G3:G84">+simulate_iVaR_fromfile(D3:E84,Controls!B3)</f>
        <v>8.6259608123029352E-4</v>
      </c>
    </row>
    <row r="4" spans="1:7" ht="16.5" thickTop="1" thickBot="1">
      <c r="A4" s="5" t="s">
        <v>5</v>
      </c>
      <c r="B4" s="2" t="s">
        <v>6</v>
      </c>
      <c r="C4" s="3" t="s">
        <v>11</v>
      </c>
      <c r="D4" s="1" t="s">
        <v>12</v>
      </c>
      <c r="E4" s="6">
        <v>8.6548203268745627E-2</v>
      </c>
      <c r="F4" s="11">
        <v>-2.8685963133351366E-3</v>
      </c>
      <c r="G4" s="11">
        <v>-2.8685963133351366E-3</v>
      </c>
    </row>
    <row r="5" spans="1:7" ht="16.5" thickTop="1" thickBot="1">
      <c r="A5" s="5" t="s">
        <v>5</v>
      </c>
      <c r="B5" s="2" t="s">
        <v>6</v>
      </c>
      <c r="C5" s="3" t="s">
        <v>13</v>
      </c>
      <c r="D5" s="1" t="s">
        <v>14</v>
      </c>
      <c r="E5" s="6">
        <v>0</v>
      </c>
      <c r="F5" s="11">
        <v>0</v>
      </c>
      <c r="G5" s="11">
        <v>0</v>
      </c>
    </row>
    <row r="6" spans="1:7" ht="16.5" thickTop="1" thickBot="1">
      <c r="A6" s="5" t="s">
        <v>5</v>
      </c>
      <c r="B6" s="2" t="s">
        <v>6</v>
      </c>
      <c r="C6" s="4" t="s">
        <v>15</v>
      </c>
      <c r="D6" s="1" t="s">
        <v>16</v>
      </c>
      <c r="E6" s="6">
        <v>0</v>
      </c>
      <c r="F6" s="11">
        <v>0</v>
      </c>
      <c r="G6" s="11">
        <v>0</v>
      </c>
    </row>
    <row r="7" spans="1:7" ht="16.5" thickTop="1" thickBot="1">
      <c r="A7" s="5" t="s">
        <v>5</v>
      </c>
      <c r="B7" s="2" t="s">
        <v>17</v>
      </c>
      <c r="C7" s="3" t="s">
        <v>18</v>
      </c>
      <c r="D7" s="1" t="s">
        <v>19</v>
      </c>
      <c r="E7" s="6">
        <v>-0.26331664186495785</v>
      </c>
      <c r="F7" s="11">
        <v>-2.788549096563453E-3</v>
      </c>
      <c r="G7" s="11">
        <v>-2.788549096563453E-3</v>
      </c>
    </row>
    <row r="8" spans="1:7" ht="16.5" thickTop="1" thickBot="1">
      <c r="A8" s="5" t="s">
        <v>5</v>
      </c>
      <c r="B8" s="2" t="s">
        <v>17</v>
      </c>
      <c r="C8" s="4" t="s">
        <v>20</v>
      </c>
      <c r="D8" s="1" t="s">
        <v>21</v>
      </c>
      <c r="E8" s="6">
        <v>0</v>
      </c>
      <c r="F8" s="11">
        <v>0</v>
      </c>
      <c r="G8" s="11">
        <v>0</v>
      </c>
    </row>
    <row r="9" spans="1:7" ht="16.5" thickTop="1" thickBot="1">
      <c r="A9" s="5" t="s">
        <v>5</v>
      </c>
      <c r="B9" s="2" t="s">
        <v>22</v>
      </c>
      <c r="C9" s="3" t="s">
        <v>23</v>
      </c>
      <c r="D9" s="1" t="s">
        <v>24</v>
      </c>
      <c r="E9" s="6">
        <v>-3.4027969542818337E-3</v>
      </c>
      <c r="F9" s="11">
        <v>-4.0380716270771444E-5</v>
      </c>
      <c r="G9" s="11">
        <v>-4.0380716270771444E-5</v>
      </c>
    </row>
    <row r="10" spans="1:7" ht="16.5" thickTop="1" thickBot="1">
      <c r="A10" s="5" t="s">
        <v>5</v>
      </c>
      <c r="B10" s="2" t="s">
        <v>22</v>
      </c>
      <c r="C10" s="3" t="s">
        <v>25</v>
      </c>
      <c r="D10" s="1" t="s">
        <v>26</v>
      </c>
      <c r="E10" s="6">
        <v>-1.555285226669777E-4</v>
      </c>
      <c r="F10" s="11">
        <v>1.2279852135144154E-6</v>
      </c>
      <c r="G10" s="11">
        <v>1.2279852135144154E-6</v>
      </c>
    </row>
    <row r="11" spans="1:7" ht="16.5" thickTop="1" thickBot="1">
      <c r="A11" s="5" t="s">
        <v>5</v>
      </c>
      <c r="B11" s="2" t="s">
        <v>22</v>
      </c>
      <c r="C11" s="3" t="s">
        <v>27</v>
      </c>
      <c r="D11" s="1" t="s">
        <v>28</v>
      </c>
      <c r="E11" s="6">
        <v>0</v>
      </c>
      <c r="F11" s="11">
        <v>0</v>
      </c>
      <c r="G11" s="11">
        <v>0</v>
      </c>
    </row>
    <row r="12" spans="1:7" ht="16.5" thickTop="1" thickBot="1">
      <c r="A12" s="5" t="s">
        <v>5</v>
      </c>
      <c r="B12" s="2" t="s">
        <v>22</v>
      </c>
      <c r="C12" s="3" t="s">
        <v>29</v>
      </c>
      <c r="D12" s="1" t="s">
        <v>30</v>
      </c>
      <c r="E12" s="6">
        <v>0</v>
      </c>
      <c r="F12" s="11">
        <v>0</v>
      </c>
      <c r="G12" s="11">
        <v>0</v>
      </c>
    </row>
    <row r="13" spans="1:7" ht="16.5" thickTop="1" thickBot="1">
      <c r="A13" s="5" t="s">
        <v>5</v>
      </c>
      <c r="B13" s="2" t="s">
        <v>22</v>
      </c>
      <c r="C13" s="4" t="s">
        <v>31</v>
      </c>
      <c r="D13" s="1" t="s">
        <v>32</v>
      </c>
      <c r="E13" s="6">
        <v>0</v>
      </c>
      <c r="F13" s="11">
        <v>0</v>
      </c>
      <c r="G13" s="11">
        <v>0</v>
      </c>
    </row>
    <row r="14" spans="1:7" ht="16.5" thickTop="1" thickBot="1">
      <c r="A14" s="5" t="s">
        <v>5</v>
      </c>
      <c r="B14" s="2" t="s">
        <v>33</v>
      </c>
      <c r="C14" s="3" t="s">
        <v>34</v>
      </c>
      <c r="D14" s="1" t="s">
        <v>35</v>
      </c>
      <c r="E14" s="6">
        <v>-1.8097201534258762E-2</v>
      </c>
      <c r="F14" s="11">
        <v>4.7851835632828355E-4</v>
      </c>
      <c r="G14" s="11">
        <v>4.7851835632828355E-4</v>
      </c>
    </row>
    <row r="15" spans="1:7" ht="16.5" thickTop="1" thickBot="1">
      <c r="A15" s="5" t="s">
        <v>5</v>
      </c>
      <c r="B15" s="2" t="s">
        <v>33</v>
      </c>
      <c r="C15" s="3" t="s">
        <v>36</v>
      </c>
      <c r="D15" s="1" t="s">
        <v>37</v>
      </c>
      <c r="E15" s="6">
        <v>-3.2735760130459528E-2</v>
      </c>
      <c r="F15" s="11">
        <v>1.6653824112811133E-3</v>
      </c>
      <c r="G15" s="11">
        <v>1.6653824112811133E-3</v>
      </c>
    </row>
    <row r="16" spans="1:7" ht="16.5" thickTop="1" thickBot="1">
      <c r="A16" s="5" t="s">
        <v>5</v>
      </c>
      <c r="B16" s="2" t="s">
        <v>33</v>
      </c>
      <c r="C16" s="4" t="s">
        <v>38</v>
      </c>
      <c r="D16" s="1" t="s">
        <v>39</v>
      </c>
      <c r="E16" s="6">
        <v>-6.9591544062424853E-4</v>
      </c>
      <c r="F16" s="11">
        <v>2.9089799735704247E-5</v>
      </c>
      <c r="G16" s="11">
        <v>2.9089799735704247E-5</v>
      </c>
    </row>
    <row r="17" spans="1:7" ht="16.5" thickTop="1" thickBot="1">
      <c r="A17" s="5" t="s">
        <v>5</v>
      </c>
      <c r="B17" s="2" t="s">
        <v>40</v>
      </c>
      <c r="C17" s="3" t="s">
        <v>41</v>
      </c>
      <c r="D17" s="1" t="s">
        <v>42</v>
      </c>
      <c r="E17" s="6">
        <v>0</v>
      </c>
      <c r="F17" s="11">
        <v>0</v>
      </c>
      <c r="G17" s="11">
        <v>0</v>
      </c>
    </row>
    <row r="18" spans="1:7" ht="16.5" thickTop="1" thickBot="1">
      <c r="A18" s="5" t="s">
        <v>5</v>
      </c>
      <c r="B18" s="2" t="s">
        <v>40</v>
      </c>
      <c r="C18" s="3" t="s">
        <v>43</v>
      </c>
      <c r="D18" s="1" t="s">
        <v>44</v>
      </c>
      <c r="E18" s="6">
        <v>0</v>
      </c>
      <c r="F18" s="11">
        <v>0</v>
      </c>
      <c r="G18" s="11">
        <v>0</v>
      </c>
    </row>
    <row r="19" spans="1:7" ht="16.5" thickTop="1" thickBot="1">
      <c r="A19" s="5" t="s">
        <v>5</v>
      </c>
      <c r="B19" s="2" t="s">
        <v>40</v>
      </c>
      <c r="C19" s="3" t="s">
        <v>45</v>
      </c>
      <c r="D19" s="1" t="s">
        <v>46</v>
      </c>
      <c r="E19" s="6">
        <v>0</v>
      </c>
      <c r="F19" s="11">
        <v>0</v>
      </c>
      <c r="G19" s="11">
        <v>0</v>
      </c>
    </row>
    <row r="20" spans="1:7" ht="16.5" thickTop="1" thickBot="1">
      <c r="A20" s="5" t="s">
        <v>5</v>
      </c>
      <c r="B20" s="2" t="s">
        <v>40</v>
      </c>
      <c r="C20" s="3" t="s">
        <v>47</v>
      </c>
      <c r="D20" s="1" t="s">
        <v>48</v>
      </c>
      <c r="E20" s="6">
        <v>-5.855321365340621E-4</v>
      </c>
      <c r="F20" s="11">
        <v>3.6576691744838463E-5</v>
      </c>
      <c r="G20" s="11">
        <v>3.6576691744838463E-5</v>
      </c>
    </row>
    <row r="21" spans="1:7" ht="16.5" thickTop="1" thickBot="1">
      <c r="A21" s="5" t="s">
        <v>5</v>
      </c>
      <c r="B21" s="2" t="s">
        <v>40</v>
      </c>
      <c r="C21" s="3" t="s">
        <v>49</v>
      </c>
      <c r="D21" s="1" t="s">
        <v>50</v>
      </c>
      <c r="E21" s="6">
        <v>-2.05212583781432E-5</v>
      </c>
      <c r="F21" s="11">
        <v>1.2186865405716674E-6</v>
      </c>
      <c r="G21" s="11">
        <v>1.2186865405716674E-6</v>
      </c>
    </row>
    <row r="22" spans="1:7" ht="16.5" thickTop="1" thickBot="1">
      <c r="A22" s="5" t="s">
        <v>5</v>
      </c>
      <c r="B22" s="2" t="s">
        <v>40</v>
      </c>
      <c r="C22" s="3" t="s">
        <v>51</v>
      </c>
      <c r="D22" s="1" t="s">
        <v>52</v>
      </c>
      <c r="E22" s="6">
        <v>0</v>
      </c>
      <c r="F22" s="11">
        <v>0</v>
      </c>
      <c r="G22" s="11">
        <v>0</v>
      </c>
    </row>
    <row r="23" spans="1:7" ht="16.5" thickTop="1" thickBot="1">
      <c r="A23" s="5" t="s">
        <v>5</v>
      </c>
      <c r="B23" s="2" t="s">
        <v>40</v>
      </c>
      <c r="C23" s="3" t="s">
        <v>53</v>
      </c>
      <c r="D23" s="1" t="s">
        <v>54</v>
      </c>
      <c r="E23" s="6">
        <v>0</v>
      </c>
      <c r="F23" s="11">
        <v>0</v>
      </c>
      <c r="G23" s="11">
        <v>0</v>
      </c>
    </row>
    <row r="24" spans="1:7" ht="16.5" thickTop="1" thickBot="1">
      <c r="A24" s="5" t="s">
        <v>5</v>
      </c>
      <c r="B24" s="2" t="s">
        <v>40</v>
      </c>
      <c r="C24" s="3" t="s">
        <v>55</v>
      </c>
      <c r="D24" s="1" t="s">
        <v>56</v>
      </c>
      <c r="E24" s="6">
        <v>0</v>
      </c>
      <c r="F24" s="11">
        <v>0</v>
      </c>
      <c r="G24" s="11">
        <v>0</v>
      </c>
    </row>
    <row r="25" spans="1:7" ht="16.5" thickTop="1" thickBot="1">
      <c r="A25" s="5" t="s">
        <v>5</v>
      </c>
      <c r="B25" s="2" t="s">
        <v>40</v>
      </c>
      <c r="C25" s="4" t="s">
        <v>57</v>
      </c>
      <c r="D25" s="1" t="s">
        <v>58</v>
      </c>
      <c r="E25" s="6">
        <v>0</v>
      </c>
      <c r="F25" s="11">
        <v>0</v>
      </c>
      <c r="G25" s="11">
        <v>0</v>
      </c>
    </row>
    <row r="26" spans="1:7" ht="16.5" thickTop="1" thickBot="1">
      <c r="A26" s="5" t="s">
        <v>59</v>
      </c>
      <c r="B26" s="2" t="s">
        <v>60</v>
      </c>
      <c r="C26" s="4" t="s">
        <v>61</v>
      </c>
      <c r="D26" s="1" t="s">
        <v>62</v>
      </c>
      <c r="E26" s="6">
        <v>0</v>
      </c>
      <c r="F26" s="11">
        <v>0</v>
      </c>
      <c r="G26" s="11">
        <v>0</v>
      </c>
    </row>
    <row r="27" spans="1:7" ht="16.5" thickTop="1" thickBot="1">
      <c r="A27" s="5" t="s">
        <v>59</v>
      </c>
      <c r="B27" s="2" t="s">
        <v>60</v>
      </c>
      <c r="C27" s="4" t="s">
        <v>63</v>
      </c>
      <c r="D27" s="1" t="s">
        <v>64</v>
      </c>
      <c r="E27" s="6">
        <v>0</v>
      </c>
      <c r="F27" s="11">
        <v>0</v>
      </c>
      <c r="G27" s="11">
        <v>0</v>
      </c>
    </row>
    <row r="28" spans="1:7" ht="16.5" thickTop="1" thickBot="1">
      <c r="A28" s="5" t="s">
        <v>59</v>
      </c>
      <c r="B28" s="2" t="s">
        <v>60</v>
      </c>
      <c r="C28" s="4" t="s">
        <v>65</v>
      </c>
      <c r="D28" s="1" t="s">
        <v>66</v>
      </c>
      <c r="E28" s="6">
        <v>0</v>
      </c>
      <c r="F28" s="11">
        <v>0</v>
      </c>
      <c r="G28" s="11">
        <v>0</v>
      </c>
    </row>
    <row r="29" spans="1:7" ht="16.5" thickTop="1" thickBot="1">
      <c r="A29" s="5" t="s">
        <v>59</v>
      </c>
      <c r="B29" s="2" t="s">
        <v>60</v>
      </c>
      <c r="C29" s="4" t="s">
        <v>67</v>
      </c>
      <c r="D29" s="1" t="s">
        <v>68</v>
      </c>
      <c r="E29" s="6">
        <v>0.13928277951606935</v>
      </c>
      <c r="F29" s="11">
        <v>2.7717852125325182E-3</v>
      </c>
      <c r="G29" s="11">
        <v>2.7717852125325182E-3</v>
      </c>
    </row>
    <row r="30" spans="1:7" ht="16.5" thickTop="1" thickBot="1">
      <c r="A30" s="5" t="s">
        <v>59</v>
      </c>
      <c r="B30" s="2" t="s">
        <v>60</v>
      </c>
      <c r="C30" s="4" t="s">
        <v>69</v>
      </c>
      <c r="D30" s="1" t="s">
        <v>70</v>
      </c>
      <c r="E30" s="6">
        <v>0</v>
      </c>
      <c r="F30" s="11">
        <v>0</v>
      </c>
      <c r="G30" s="11">
        <v>0</v>
      </c>
    </row>
    <row r="31" spans="1:7" ht="16.5" thickTop="1" thickBot="1">
      <c r="A31" s="5" t="s">
        <v>59</v>
      </c>
      <c r="B31" s="2" t="s">
        <v>71</v>
      </c>
      <c r="C31" s="4" t="s">
        <v>72</v>
      </c>
      <c r="D31" s="1" t="s">
        <v>73</v>
      </c>
      <c r="E31" s="6">
        <v>0</v>
      </c>
      <c r="F31" s="11">
        <v>0</v>
      </c>
      <c r="G31" s="11">
        <v>0</v>
      </c>
    </row>
    <row r="32" spans="1:7" ht="16.5" thickTop="1" thickBot="1">
      <c r="A32" s="5" t="s">
        <v>59</v>
      </c>
      <c r="B32" s="2" t="s">
        <v>71</v>
      </c>
      <c r="C32" s="4" t="s">
        <v>74</v>
      </c>
      <c r="D32" s="1" t="s">
        <v>75</v>
      </c>
      <c r="E32" s="6">
        <v>0</v>
      </c>
      <c r="F32" s="11">
        <v>0</v>
      </c>
      <c r="G32" s="11">
        <v>0</v>
      </c>
    </row>
    <row r="33" spans="1:7" ht="16.5" thickTop="1" thickBot="1">
      <c r="A33" s="5" t="s">
        <v>59</v>
      </c>
      <c r="B33" s="2" t="s">
        <v>71</v>
      </c>
      <c r="C33" s="4" t="s">
        <v>76</v>
      </c>
      <c r="D33" s="1" t="s">
        <v>77</v>
      </c>
      <c r="E33" s="6">
        <v>0.50720173226493781</v>
      </c>
      <c r="F33" s="11">
        <v>-2.1126979700414328E-4</v>
      </c>
      <c r="G33" s="11">
        <v>-2.1126979700414328E-4</v>
      </c>
    </row>
    <row r="34" spans="1:7" ht="16.5" thickTop="1" thickBot="1">
      <c r="A34" s="5" t="s">
        <v>59</v>
      </c>
      <c r="B34" s="2" t="s">
        <v>71</v>
      </c>
      <c r="C34" s="4" t="s">
        <v>78</v>
      </c>
      <c r="D34" s="1" t="s">
        <v>79</v>
      </c>
      <c r="E34" s="6">
        <v>0.10499470715279825</v>
      </c>
      <c r="F34" s="11">
        <v>-4.0172966897511486E-5</v>
      </c>
      <c r="G34" s="11">
        <v>-4.0172966897511486E-5</v>
      </c>
    </row>
    <row r="35" spans="1:7" ht="16.5" thickTop="1" thickBot="1">
      <c r="A35" s="5" t="s">
        <v>59</v>
      </c>
      <c r="B35" s="2" t="s">
        <v>71</v>
      </c>
      <c r="C35" s="4" t="s">
        <v>80</v>
      </c>
      <c r="D35" s="1" t="s">
        <v>81</v>
      </c>
      <c r="E35" s="6">
        <v>-0.14815734544440365</v>
      </c>
      <c r="F35" s="11">
        <v>8.2286447516954908E-5</v>
      </c>
      <c r="G35" s="11">
        <v>8.2286447516954908E-5</v>
      </c>
    </row>
    <row r="36" spans="1:7" ht="16.5" thickTop="1" thickBot="1">
      <c r="A36" s="5" t="s">
        <v>59</v>
      </c>
      <c r="B36" s="2" t="s">
        <v>71</v>
      </c>
      <c r="C36" s="4" t="s">
        <v>71</v>
      </c>
      <c r="D36" s="1" t="s">
        <v>82</v>
      </c>
      <c r="E36" s="6">
        <v>0</v>
      </c>
      <c r="F36" s="11">
        <v>0</v>
      </c>
      <c r="G36" s="11">
        <v>0</v>
      </c>
    </row>
    <row r="37" spans="1:7" ht="16.5" thickTop="1" thickBot="1">
      <c r="A37" s="5" t="s">
        <v>59</v>
      </c>
      <c r="B37" s="2" t="s">
        <v>71</v>
      </c>
      <c r="C37" s="4" t="s">
        <v>83</v>
      </c>
      <c r="D37" s="1" t="s">
        <v>84</v>
      </c>
      <c r="E37" s="6">
        <v>0</v>
      </c>
      <c r="F37" s="11">
        <v>0</v>
      </c>
      <c r="G37" s="11">
        <v>0</v>
      </c>
    </row>
    <row r="38" spans="1:7" ht="16.5" thickTop="1" thickBot="1">
      <c r="A38" s="5" t="s">
        <v>59</v>
      </c>
      <c r="B38" s="2" t="s">
        <v>85</v>
      </c>
      <c r="C38" s="4" t="s">
        <v>86</v>
      </c>
      <c r="D38" s="1" t="s">
        <v>87</v>
      </c>
      <c r="E38" s="6">
        <v>0</v>
      </c>
      <c r="F38" s="11">
        <v>0</v>
      </c>
      <c r="G38" s="11">
        <v>0</v>
      </c>
    </row>
    <row r="39" spans="1:7" ht="16.5" thickTop="1" thickBot="1">
      <c r="A39" s="5" t="s">
        <v>59</v>
      </c>
      <c r="B39" s="2" t="s">
        <v>88</v>
      </c>
      <c r="C39" s="4" t="s">
        <v>89</v>
      </c>
      <c r="D39" s="1" t="s">
        <v>90</v>
      </c>
      <c r="E39" s="6">
        <v>0</v>
      </c>
      <c r="F39" s="11">
        <v>0</v>
      </c>
      <c r="G39" s="11">
        <v>0</v>
      </c>
    </row>
    <row r="40" spans="1:7" ht="16.5" thickTop="1" thickBot="1">
      <c r="A40" s="5" t="s">
        <v>59</v>
      </c>
      <c r="B40" s="2" t="s">
        <v>88</v>
      </c>
      <c r="C40" s="4" t="s">
        <v>91</v>
      </c>
      <c r="D40" s="1" t="s">
        <v>92</v>
      </c>
      <c r="E40" s="6">
        <v>0</v>
      </c>
      <c r="F40" s="11">
        <v>0</v>
      </c>
      <c r="G40" s="11">
        <v>0</v>
      </c>
    </row>
    <row r="41" spans="1:7" ht="16.5" thickTop="1" thickBot="1">
      <c r="A41" s="5" t="s">
        <v>59</v>
      </c>
      <c r="B41" s="2" t="s">
        <v>93</v>
      </c>
      <c r="C41" s="4" t="s">
        <v>94</v>
      </c>
      <c r="D41" s="1" t="s">
        <v>95</v>
      </c>
      <c r="E41" s="6">
        <v>0</v>
      </c>
      <c r="F41" s="11">
        <v>0</v>
      </c>
      <c r="G41" s="11">
        <v>0</v>
      </c>
    </row>
    <row r="42" spans="1:7" ht="16.5" thickTop="1" thickBot="1">
      <c r="A42" s="5" t="s">
        <v>59</v>
      </c>
      <c r="B42" s="2" t="s">
        <v>93</v>
      </c>
      <c r="C42" s="4" t="s">
        <v>96</v>
      </c>
      <c r="D42" s="1" t="s">
        <v>97</v>
      </c>
      <c r="E42" s="6">
        <v>0</v>
      </c>
      <c r="F42" s="11">
        <v>0</v>
      </c>
      <c r="G42" s="11">
        <v>0</v>
      </c>
    </row>
    <row r="43" spans="1:7" ht="16.5" thickTop="1" thickBot="1">
      <c r="A43" s="5" t="s">
        <v>59</v>
      </c>
      <c r="B43" s="2" t="s">
        <v>98</v>
      </c>
      <c r="C43" s="4" t="s">
        <v>99</v>
      </c>
      <c r="D43" s="1" t="s">
        <v>100</v>
      </c>
      <c r="E43" s="6">
        <v>0</v>
      </c>
      <c r="F43" s="11">
        <v>0</v>
      </c>
      <c r="G43" s="11">
        <v>0</v>
      </c>
    </row>
    <row r="44" spans="1:7" ht="16.5" thickTop="1" thickBot="1">
      <c r="A44" s="5" t="s">
        <v>59</v>
      </c>
      <c r="B44" s="2" t="s">
        <v>98</v>
      </c>
      <c r="C44" s="4" t="s">
        <v>101</v>
      </c>
      <c r="D44" s="1" t="s">
        <v>102</v>
      </c>
      <c r="E44" s="6">
        <v>0</v>
      </c>
      <c r="F44" s="11">
        <v>0</v>
      </c>
      <c r="G44" s="11">
        <v>0</v>
      </c>
    </row>
    <row r="45" spans="1:7" ht="16.5" thickTop="1" thickBot="1">
      <c r="A45" s="5" t="s">
        <v>59</v>
      </c>
      <c r="B45" s="2" t="s">
        <v>103</v>
      </c>
      <c r="C45" s="4" t="s">
        <v>104</v>
      </c>
      <c r="D45" s="1" t="s">
        <v>105</v>
      </c>
      <c r="E45" s="6">
        <v>0</v>
      </c>
      <c r="F45" s="11">
        <v>0</v>
      </c>
      <c r="G45" s="11">
        <v>0</v>
      </c>
    </row>
    <row r="46" spans="1:7" ht="16.5" thickTop="1" thickBot="1">
      <c r="A46" s="5" t="s">
        <v>59</v>
      </c>
      <c r="B46" s="2" t="s">
        <v>106</v>
      </c>
      <c r="C46" s="4" t="s">
        <v>107</v>
      </c>
      <c r="D46" s="1" t="s">
        <v>108</v>
      </c>
      <c r="E46" s="6">
        <v>-0.10606512417144823</v>
      </c>
      <c r="F46" s="11">
        <v>-2.568447899503612E-4</v>
      </c>
      <c r="G46" s="11">
        <v>-2.568447899503612E-4</v>
      </c>
    </row>
    <row r="47" spans="1:7" ht="16.5" thickTop="1" thickBot="1">
      <c r="A47" s="5" t="s">
        <v>59</v>
      </c>
      <c r="B47" s="2" t="s">
        <v>109</v>
      </c>
      <c r="C47" s="4" t="s">
        <v>110</v>
      </c>
      <c r="D47" s="1" t="s">
        <v>111</v>
      </c>
      <c r="E47" s="6">
        <v>0</v>
      </c>
      <c r="F47" s="11">
        <v>0</v>
      </c>
      <c r="G47" s="11">
        <v>0</v>
      </c>
    </row>
    <row r="48" spans="1:7" ht="16.5" thickTop="1" thickBot="1">
      <c r="A48" s="5" t="s">
        <v>112</v>
      </c>
      <c r="B48" s="2" t="s">
        <v>71</v>
      </c>
      <c r="C48" s="4" t="s">
        <v>113</v>
      </c>
      <c r="D48" s="1" t="s">
        <v>114</v>
      </c>
      <c r="E48" s="6">
        <v>0</v>
      </c>
      <c r="F48" s="11">
        <v>0</v>
      </c>
      <c r="G48" s="11">
        <v>0</v>
      </c>
    </row>
    <row r="49" spans="1:7" ht="16.5" thickTop="1" thickBot="1">
      <c r="A49" s="5" t="s">
        <v>112</v>
      </c>
      <c r="B49" s="2" t="s">
        <v>71</v>
      </c>
      <c r="C49" s="4" t="s">
        <v>115</v>
      </c>
      <c r="D49" s="1" t="s">
        <v>116</v>
      </c>
      <c r="E49" s="6">
        <v>0.15867833799066972</v>
      </c>
      <c r="F49" s="11">
        <v>2.7318135521550713E-2</v>
      </c>
      <c r="G49" s="11">
        <v>2.7318135521550713E-2</v>
      </c>
    </row>
    <row r="50" spans="1:7" ht="16.5" thickTop="1" thickBot="1">
      <c r="A50" s="5" t="s">
        <v>112</v>
      </c>
      <c r="B50" s="2" t="s">
        <v>71</v>
      </c>
      <c r="C50" s="4" t="s">
        <v>117</v>
      </c>
      <c r="D50" s="1" t="s">
        <v>118</v>
      </c>
      <c r="E50" s="6">
        <v>0</v>
      </c>
      <c r="F50" s="11">
        <v>0</v>
      </c>
      <c r="G50" s="11">
        <v>0</v>
      </c>
    </row>
    <row r="51" spans="1:7" ht="16.5" thickTop="1" thickBot="1">
      <c r="A51" s="5" t="s">
        <v>112</v>
      </c>
      <c r="B51" s="2" t="s">
        <v>71</v>
      </c>
      <c r="C51" s="4" t="s">
        <v>119</v>
      </c>
      <c r="D51" s="1" t="s">
        <v>120</v>
      </c>
      <c r="E51" s="6">
        <v>0</v>
      </c>
      <c r="F51" s="11">
        <v>0</v>
      </c>
      <c r="G51" s="11">
        <v>0</v>
      </c>
    </row>
    <row r="52" spans="1:7" ht="16.5" thickTop="1" thickBot="1">
      <c r="A52" s="5" t="s">
        <v>112</v>
      </c>
      <c r="B52" s="2" t="s">
        <v>121</v>
      </c>
      <c r="C52" s="4" t="s">
        <v>122</v>
      </c>
      <c r="D52" s="1" t="s">
        <v>123</v>
      </c>
      <c r="E52" s="6">
        <v>0</v>
      </c>
      <c r="F52" s="11">
        <v>0</v>
      </c>
      <c r="G52" s="11">
        <v>0</v>
      </c>
    </row>
    <row r="53" spans="1:7" ht="16.5" thickTop="1" thickBot="1">
      <c r="A53" s="5" t="s">
        <v>112</v>
      </c>
      <c r="B53" s="2" t="s">
        <v>121</v>
      </c>
      <c r="C53" s="4" t="s">
        <v>103</v>
      </c>
      <c r="D53" s="1" t="s">
        <v>124</v>
      </c>
      <c r="E53" s="6">
        <v>6.906725637901312E-2</v>
      </c>
      <c r="F53" s="11">
        <v>1.5585645607302245E-2</v>
      </c>
      <c r="G53" s="11">
        <v>1.5585645607302245E-2</v>
      </c>
    </row>
    <row r="54" spans="1:7" ht="16.5" thickTop="1" thickBot="1">
      <c r="A54" s="5" t="s">
        <v>112</v>
      </c>
      <c r="B54" s="2" t="s">
        <v>121</v>
      </c>
      <c r="C54" s="4" t="s">
        <v>125</v>
      </c>
      <c r="D54" s="1" t="s">
        <v>126</v>
      </c>
      <c r="E54" s="6">
        <v>0</v>
      </c>
      <c r="F54" s="11">
        <v>0</v>
      </c>
      <c r="G54" s="11">
        <v>0</v>
      </c>
    </row>
    <row r="55" spans="1:7" ht="16.5" thickTop="1" thickBot="1">
      <c r="A55" s="5" t="s">
        <v>112</v>
      </c>
      <c r="B55" s="2" t="s">
        <v>121</v>
      </c>
      <c r="C55" s="4" t="s">
        <v>127</v>
      </c>
      <c r="D55" s="1" t="s">
        <v>128</v>
      </c>
      <c r="E55" s="6">
        <v>0</v>
      </c>
      <c r="F55" s="11">
        <v>0</v>
      </c>
      <c r="G55" s="11">
        <v>0</v>
      </c>
    </row>
    <row r="56" spans="1:7" ht="16.5" thickTop="1" thickBot="1">
      <c r="A56" s="5" t="s">
        <v>112</v>
      </c>
      <c r="B56" s="2" t="s">
        <v>121</v>
      </c>
      <c r="C56" s="4" t="s">
        <v>129</v>
      </c>
      <c r="D56" s="1" t="s">
        <v>130</v>
      </c>
      <c r="E56" s="6">
        <v>0</v>
      </c>
      <c r="F56" s="11">
        <v>0</v>
      </c>
      <c r="G56" s="11">
        <v>0</v>
      </c>
    </row>
    <row r="57" spans="1:7" ht="16.5" thickTop="1" thickBot="1">
      <c r="A57" s="5" t="s">
        <v>112</v>
      </c>
      <c r="B57" s="2" t="s">
        <v>121</v>
      </c>
      <c r="C57" s="4" t="s">
        <v>131</v>
      </c>
      <c r="D57" s="1" t="s">
        <v>132</v>
      </c>
      <c r="E57" s="6">
        <v>0</v>
      </c>
      <c r="F57" s="11">
        <v>0</v>
      </c>
      <c r="G57" s="11">
        <v>0</v>
      </c>
    </row>
    <row r="58" spans="1:7" ht="16.5" thickTop="1" thickBot="1">
      <c r="A58" s="5" t="s">
        <v>112</v>
      </c>
      <c r="B58" s="2" t="s">
        <v>121</v>
      </c>
      <c r="C58" s="4" t="s">
        <v>133</v>
      </c>
      <c r="D58" s="1" t="s">
        <v>134</v>
      </c>
      <c r="E58" s="6">
        <v>0</v>
      </c>
      <c r="F58" s="11">
        <v>0</v>
      </c>
      <c r="G58" s="11">
        <v>0</v>
      </c>
    </row>
    <row r="59" spans="1:7" ht="16.5" thickTop="1" thickBot="1">
      <c r="A59" s="5" t="s">
        <v>112</v>
      </c>
      <c r="B59" s="2" t="s">
        <v>121</v>
      </c>
      <c r="C59" s="4" t="s">
        <v>135</v>
      </c>
      <c r="D59" s="1" t="s">
        <v>136</v>
      </c>
      <c r="E59" s="6">
        <v>0</v>
      </c>
      <c r="F59" s="11">
        <v>0</v>
      </c>
      <c r="G59" s="11">
        <v>0</v>
      </c>
    </row>
    <row r="60" spans="1:7" ht="16.5" thickTop="1" thickBot="1">
      <c r="A60" s="5" t="s">
        <v>112</v>
      </c>
      <c r="B60" s="2" t="s">
        <v>121</v>
      </c>
      <c r="C60" s="4" t="s">
        <v>137</v>
      </c>
      <c r="D60" s="1" t="s">
        <v>138</v>
      </c>
      <c r="E60" s="6">
        <v>0</v>
      </c>
      <c r="F60" s="11">
        <v>0</v>
      </c>
      <c r="G60" s="11">
        <v>0</v>
      </c>
    </row>
    <row r="61" spans="1:7" ht="16.5" thickTop="1" thickBot="1">
      <c r="A61" s="5" t="s">
        <v>112</v>
      </c>
      <c r="B61" s="2" t="s">
        <v>121</v>
      </c>
      <c r="C61" s="4" t="s">
        <v>139</v>
      </c>
      <c r="D61" s="1" t="s">
        <v>140</v>
      </c>
      <c r="E61" s="6">
        <v>0</v>
      </c>
      <c r="F61" s="11">
        <v>0</v>
      </c>
      <c r="G61" s="11">
        <v>0</v>
      </c>
    </row>
    <row r="62" spans="1:7" ht="16.5" thickTop="1" thickBot="1">
      <c r="A62" s="5" t="s">
        <v>112</v>
      </c>
      <c r="B62" s="2" t="s">
        <v>121</v>
      </c>
      <c r="C62" s="4" t="s">
        <v>141</v>
      </c>
      <c r="D62" s="1" t="s">
        <v>142</v>
      </c>
      <c r="E62" s="6">
        <v>0</v>
      </c>
      <c r="F62" s="11">
        <v>0</v>
      </c>
      <c r="G62" s="11">
        <v>0</v>
      </c>
    </row>
    <row r="63" spans="1:7" ht="16.5" thickTop="1" thickBot="1">
      <c r="A63" s="5" t="s">
        <v>112</v>
      </c>
      <c r="B63" s="2" t="s">
        <v>121</v>
      </c>
      <c r="C63" s="4" t="s">
        <v>143</v>
      </c>
      <c r="D63" s="1" t="s">
        <v>144</v>
      </c>
      <c r="E63" s="6">
        <v>0</v>
      </c>
      <c r="F63" s="11">
        <v>0</v>
      </c>
      <c r="G63" s="11">
        <v>0</v>
      </c>
    </row>
    <row r="64" spans="1:7" ht="16.5" thickTop="1" thickBot="1">
      <c r="A64" s="5" t="s">
        <v>112</v>
      </c>
      <c r="B64" s="2" t="s">
        <v>121</v>
      </c>
      <c r="C64" s="4" t="s">
        <v>145</v>
      </c>
      <c r="D64" s="1" t="s">
        <v>146</v>
      </c>
      <c r="E64" s="6">
        <v>0</v>
      </c>
      <c r="F64" s="11">
        <v>0</v>
      </c>
      <c r="G64" s="11">
        <v>0</v>
      </c>
    </row>
    <row r="65" spans="1:7" ht="16.5" thickTop="1" thickBot="1">
      <c r="A65" s="5" t="s">
        <v>112</v>
      </c>
      <c r="B65" s="2" t="s">
        <v>121</v>
      </c>
      <c r="C65" s="4" t="s">
        <v>147</v>
      </c>
      <c r="D65" s="1" t="s">
        <v>148</v>
      </c>
      <c r="E65" s="6">
        <v>0</v>
      </c>
      <c r="F65" s="11">
        <v>0</v>
      </c>
      <c r="G65" s="11">
        <v>0</v>
      </c>
    </row>
    <row r="66" spans="1:7" ht="16.5" thickTop="1" thickBot="1">
      <c r="A66" s="5" t="s">
        <v>112</v>
      </c>
      <c r="B66" s="2" t="s">
        <v>121</v>
      </c>
      <c r="C66" s="4" t="s">
        <v>149</v>
      </c>
      <c r="D66" s="1" t="s">
        <v>150</v>
      </c>
      <c r="E66" s="6">
        <v>0</v>
      </c>
      <c r="F66" s="11">
        <v>0</v>
      </c>
      <c r="G66" s="11">
        <v>0</v>
      </c>
    </row>
    <row r="67" spans="1:7" ht="16.5" thickTop="1" thickBot="1">
      <c r="A67" s="5" t="s">
        <v>112</v>
      </c>
      <c r="B67" s="2" t="s">
        <v>121</v>
      </c>
      <c r="C67" s="4" t="s">
        <v>151</v>
      </c>
      <c r="D67" s="1" t="s">
        <v>152</v>
      </c>
      <c r="E67" s="6">
        <v>0</v>
      </c>
      <c r="F67" s="11">
        <v>0</v>
      </c>
      <c r="G67" s="11">
        <v>0</v>
      </c>
    </row>
    <row r="68" spans="1:7" ht="16.5" thickTop="1" thickBot="1">
      <c r="A68" s="5" t="s">
        <v>112</v>
      </c>
      <c r="B68" s="2" t="s">
        <v>121</v>
      </c>
      <c r="C68" s="4" t="s">
        <v>153</v>
      </c>
      <c r="D68" s="1" t="s">
        <v>154</v>
      </c>
      <c r="E68" s="6">
        <v>0</v>
      </c>
      <c r="F68" s="11">
        <v>0</v>
      </c>
      <c r="G68" s="11">
        <v>0</v>
      </c>
    </row>
    <row r="69" spans="1:7" ht="16.5" thickTop="1" thickBot="1">
      <c r="A69" s="5" t="s">
        <v>112</v>
      </c>
      <c r="B69" s="2" t="s">
        <v>155</v>
      </c>
      <c r="C69" s="4" t="s">
        <v>156</v>
      </c>
      <c r="D69" s="1" t="s">
        <v>157</v>
      </c>
      <c r="E69" s="6">
        <v>0</v>
      </c>
      <c r="F69" s="11">
        <v>0</v>
      </c>
      <c r="G69" s="11">
        <v>0</v>
      </c>
    </row>
    <row r="70" spans="1:7" ht="16.5" thickTop="1" thickBot="1">
      <c r="A70" s="5" t="s">
        <v>112</v>
      </c>
      <c r="B70" s="2" t="s">
        <v>155</v>
      </c>
      <c r="C70" s="4" t="s">
        <v>158</v>
      </c>
      <c r="D70" s="1" t="s">
        <v>159</v>
      </c>
      <c r="E70" s="6">
        <v>0</v>
      </c>
      <c r="F70" s="11">
        <v>0</v>
      </c>
      <c r="G70" s="11">
        <v>0</v>
      </c>
    </row>
    <row r="71" spans="1:7" ht="16.5" thickTop="1" thickBot="1">
      <c r="A71" s="5" t="s">
        <v>112</v>
      </c>
      <c r="B71" s="2" t="s">
        <v>155</v>
      </c>
      <c r="C71" s="4" t="s">
        <v>160</v>
      </c>
      <c r="D71" s="1" t="s">
        <v>161</v>
      </c>
      <c r="E71" s="6">
        <v>0</v>
      </c>
      <c r="F71" s="11">
        <v>0</v>
      </c>
      <c r="G71" s="11">
        <v>0</v>
      </c>
    </row>
    <row r="72" spans="1:7" ht="16.5" thickTop="1" thickBot="1">
      <c r="A72" s="5" t="s">
        <v>112</v>
      </c>
      <c r="B72" s="2" t="s">
        <v>155</v>
      </c>
      <c r="C72" s="4" t="s">
        <v>162</v>
      </c>
      <c r="D72" s="1" t="s">
        <v>163</v>
      </c>
      <c r="E72" s="6">
        <v>0</v>
      </c>
      <c r="F72" s="11">
        <v>0</v>
      </c>
      <c r="G72" s="11">
        <v>0</v>
      </c>
    </row>
    <row r="73" spans="1:7" ht="16.5" thickTop="1" thickBot="1">
      <c r="A73" s="5" t="s">
        <v>112</v>
      </c>
      <c r="B73" s="2" t="s">
        <v>155</v>
      </c>
      <c r="C73" s="4" t="s">
        <v>164</v>
      </c>
      <c r="D73" s="1" t="s">
        <v>165</v>
      </c>
      <c r="E73" s="6">
        <v>0</v>
      </c>
      <c r="F73" s="11">
        <v>0</v>
      </c>
      <c r="G73" s="11">
        <v>0</v>
      </c>
    </row>
    <row r="74" spans="1:7" ht="16.5" thickTop="1" thickBot="1">
      <c r="A74" s="5" t="s">
        <v>112</v>
      </c>
      <c r="B74" s="2" t="s">
        <v>155</v>
      </c>
      <c r="C74" s="4" t="s">
        <v>166</v>
      </c>
      <c r="D74" s="1" t="s">
        <v>167</v>
      </c>
      <c r="E74" s="6">
        <v>0</v>
      </c>
      <c r="F74" s="11">
        <v>0</v>
      </c>
      <c r="G74" s="11">
        <v>0</v>
      </c>
    </row>
    <row r="75" spans="1:7" ht="16.5" thickTop="1" thickBot="1">
      <c r="A75" s="5" t="s">
        <v>112</v>
      </c>
      <c r="B75" s="2" t="s">
        <v>155</v>
      </c>
      <c r="C75" s="4" t="s">
        <v>168</v>
      </c>
      <c r="D75" s="1" t="s">
        <v>169</v>
      </c>
      <c r="E75" s="6">
        <v>0</v>
      </c>
      <c r="F75" s="11">
        <v>0</v>
      </c>
      <c r="G75" s="11">
        <v>0</v>
      </c>
    </row>
    <row r="76" spans="1:7" ht="16.5" thickTop="1" thickBot="1">
      <c r="A76" s="5" t="s">
        <v>112</v>
      </c>
      <c r="B76" s="2" t="s">
        <v>170</v>
      </c>
      <c r="C76" s="4" t="s">
        <v>171</v>
      </c>
      <c r="D76" s="1" t="s">
        <v>172</v>
      </c>
      <c r="E76" s="6">
        <v>7.280077611684807E-2</v>
      </c>
      <c r="F76" s="11">
        <v>1.124752137544871E-2</v>
      </c>
      <c r="G76" s="11">
        <v>1.124752137544871E-2</v>
      </c>
    </row>
    <row r="77" spans="1:7" ht="16.5" thickTop="1" thickBot="1">
      <c r="A77" s="5" t="s">
        <v>173</v>
      </c>
      <c r="B77" s="2" t="s">
        <v>174</v>
      </c>
      <c r="C77" s="4" t="s">
        <v>175</v>
      </c>
      <c r="D77" s="1" t="s">
        <v>176</v>
      </c>
      <c r="E77" s="6">
        <v>0</v>
      </c>
      <c r="F77" s="11">
        <v>0</v>
      </c>
      <c r="G77" s="11">
        <v>0</v>
      </c>
    </row>
    <row r="78" spans="1:7" ht="16.5" thickTop="1" thickBot="1">
      <c r="A78" s="5" t="s">
        <v>173</v>
      </c>
      <c r="B78" s="2" t="s">
        <v>177</v>
      </c>
      <c r="C78" s="4" t="s">
        <v>178</v>
      </c>
      <c r="D78" s="1" t="s">
        <v>179</v>
      </c>
      <c r="E78" s="6">
        <v>0</v>
      </c>
      <c r="F78" s="11">
        <v>0</v>
      </c>
      <c r="G78" s="11">
        <v>0</v>
      </c>
    </row>
    <row r="79" spans="1:7" ht="16.5" thickTop="1" thickBot="1">
      <c r="A79" s="5" t="s">
        <v>173</v>
      </c>
      <c r="B79" s="2" t="s">
        <v>180</v>
      </c>
      <c r="C79" s="4" t="s">
        <v>181</v>
      </c>
      <c r="D79" s="1" t="s">
        <v>182</v>
      </c>
      <c r="E79" s="6">
        <v>0</v>
      </c>
      <c r="F79" s="11">
        <v>0</v>
      </c>
      <c r="G79" s="11">
        <v>0</v>
      </c>
    </row>
    <row r="80" spans="1:7" ht="16.5" thickTop="1" thickBot="1">
      <c r="A80" s="5" t="s">
        <v>173</v>
      </c>
      <c r="B80" s="2" t="s">
        <v>183</v>
      </c>
      <c r="C80" s="4" t="s">
        <v>184</v>
      </c>
      <c r="D80" s="1" t="s">
        <v>185</v>
      </c>
      <c r="E80" s="6">
        <v>0</v>
      </c>
      <c r="F80" s="11">
        <v>0</v>
      </c>
      <c r="G80" s="11">
        <v>0</v>
      </c>
    </row>
    <row r="81" spans="1:7" ht="16.5" thickTop="1" thickBot="1">
      <c r="A81" s="5" t="s">
        <v>173</v>
      </c>
      <c r="B81" s="2" t="s">
        <v>186</v>
      </c>
      <c r="C81" s="4" t="s">
        <v>187</v>
      </c>
      <c r="D81" s="1" t="s">
        <v>188</v>
      </c>
      <c r="E81" s="6">
        <v>7.0557655704200778E-3</v>
      </c>
      <c r="F81" s="11">
        <v>9.4531105568340656E-4</v>
      </c>
      <c r="G81" s="11">
        <v>9.4531105568340656E-4</v>
      </c>
    </row>
    <row r="82" spans="1:7" ht="16.5" thickTop="1" thickBot="1">
      <c r="A82" s="5" t="s">
        <v>173</v>
      </c>
      <c r="B82" s="2" t="s">
        <v>189</v>
      </c>
      <c r="C82" s="4" t="s">
        <v>190</v>
      </c>
      <c r="D82" s="1" t="s">
        <v>191</v>
      </c>
      <c r="E82" s="6">
        <v>0</v>
      </c>
      <c r="F82" s="11">
        <v>0</v>
      </c>
      <c r="G82" s="11">
        <v>0</v>
      </c>
    </row>
    <row r="83" spans="1:7" ht="16.5" thickTop="1" thickBot="1">
      <c r="A83" s="5" t="s">
        <v>173</v>
      </c>
      <c r="B83" s="2" t="s">
        <v>192</v>
      </c>
      <c r="C83" s="4" t="s">
        <v>193</v>
      </c>
      <c r="D83" s="1" t="s">
        <v>194</v>
      </c>
      <c r="E83" s="6">
        <v>0</v>
      </c>
      <c r="F83" s="11">
        <v>0</v>
      </c>
      <c r="G83" s="11">
        <v>0</v>
      </c>
    </row>
    <row r="84" spans="1:7" ht="16.5" thickTop="1" thickBot="1">
      <c r="A84" s="5" t="s">
        <v>173</v>
      </c>
      <c r="B84" s="2" t="s">
        <v>195</v>
      </c>
      <c r="C84" s="4" t="s">
        <v>196</v>
      </c>
      <c r="D84" s="1" t="s">
        <v>197</v>
      </c>
      <c r="E84" s="6">
        <v>1.3969790180711254E-2</v>
      </c>
      <c r="F84" s="11">
        <v>1.2389429002168661E-3</v>
      </c>
      <c r="G84" s="11">
        <v>1.2389429002168661E-3</v>
      </c>
    </row>
    <row r="85" spans="1:7">
      <c r="F85" s="12">
        <f>+SUM(F3:F84)</f>
        <v>5.6058424452304356E-2</v>
      </c>
      <c r="G85" s="12">
        <f>+SUM(G3:G84)</f>
        <v>5.6058424452304356E-2</v>
      </c>
    </row>
  </sheetData>
  <conditionalFormatting sqref="F3:F8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:G8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E7FA1-0653-416E-9870-BF314567612B}">
  <sheetPr codeName="Sheet3" filterMode="1"/>
  <dimension ref="A1:F85"/>
  <sheetViews>
    <sheetView workbookViewId="0">
      <selection activeCell="F3" sqref="F3"/>
    </sheetView>
  </sheetViews>
  <sheetFormatPr defaultRowHeight="15"/>
  <cols>
    <col min="1" max="1" width="14.28515625" bestFit="1" customWidth="1"/>
    <col min="2" max="2" width="12.85546875" bestFit="1" customWidth="1"/>
    <col min="3" max="3" width="7.42578125" bestFit="1" customWidth="1"/>
    <col min="4" max="4" width="18.140625" bestFit="1" customWidth="1"/>
    <col min="5" max="5" width="9.85546875" bestFit="1" customWidth="1"/>
    <col min="6" max="6" width="12" bestFit="1" customWidth="1"/>
  </cols>
  <sheetData>
    <row r="1" spans="1:6">
      <c r="A1" s="5" t="s">
        <v>0</v>
      </c>
      <c r="B1" s="5" t="s">
        <v>1</v>
      </c>
      <c r="C1" s="5" t="s">
        <v>2</v>
      </c>
      <c r="D1" s="5" t="s">
        <v>3</v>
      </c>
      <c r="E1" s="10" t="s">
        <v>207</v>
      </c>
      <c r="F1" s="10" t="s">
        <v>208</v>
      </c>
    </row>
    <row r="2" spans="1:6" ht="15.75" thickBot="1">
      <c r="A2" s="5" t="s">
        <v>5</v>
      </c>
      <c r="B2" s="2" t="s">
        <v>6</v>
      </c>
      <c r="C2" s="3" t="s">
        <v>7</v>
      </c>
      <c r="D2" s="1" t="s">
        <v>8</v>
      </c>
    </row>
    <row r="3" spans="1:6" ht="16.5" thickTop="1" thickBot="1">
      <c r="A3" s="5" t="s">
        <v>5</v>
      </c>
      <c r="B3" s="2" t="s">
        <v>6</v>
      </c>
      <c r="C3" s="3" t="s">
        <v>9</v>
      </c>
      <c r="D3" s="1" t="s">
        <v>10</v>
      </c>
      <c r="E3" s="13">
        <f>-VLOOKUP(C3,[2]DashboardFixing!$F$6:H$34,3,FALSE)</f>
        <v>0.11842393148077074</v>
      </c>
      <c r="F3" s="11" t="str">
        <f t="array" ref="F3:F84">+simulate_iVaR_fromfile(D3:E84,Controls!B3)</f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" spans="1:6" ht="16.5" thickTop="1" thickBot="1">
      <c r="A4" s="5" t="s">
        <v>5</v>
      </c>
      <c r="B4" s="2" t="s">
        <v>6</v>
      </c>
      <c r="C4" s="3" t="s">
        <v>11</v>
      </c>
      <c r="D4" s="1" t="s">
        <v>12</v>
      </c>
      <c r="E4" s="13">
        <f>-VLOOKUP(C4,[2]DashboardFixing!$F$6:H$34,3,FALSE)</f>
        <v>-8.5607391975077968E-2</v>
      </c>
      <c r="F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" spans="1:6" ht="16.5" hidden="1" thickTop="1" thickBot="1">
      <c r="A5" s="5" t="s">
        <v>5</v>
      </c>
      <c r="B5" s="2" t="s">
        <v>6</v>
      </c>
      <c r="C5" s="3" t="s">
        <v>13</v>
      </c>
      <c r="D5" s="1" t="s">
        <v>14</v>
      </c>
      <c r="E5" s="13">
        <f>-VLOOKUP(C5,[2]DashboardFixing!$F$6:H$34,3,FALSE)</f>
        <v>0</v>
      </c>
      <c r="F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" spans="1:6" ht="16.5" hidden="1" thickTop="1" thickBot="1">
      <c r="A6" s="5" t="s">
        <v>5</v>
      </c>
      <c r="B6" s="2" t="s">
        <v>6</v>
      </c>
      <c r="C6" s="4" t="s">
        <v>15</v>
      </c>
      <c r="D6" s="1" t="s">
        <v>16</v>
      </c>
      <c r="E6" s="13">
        <f>-VLOOKUP(C6,[2]DashboardFixing!$F$6:H$34,3,FALSE)</f>
        <v>0</v>
      </c>
      <c r="F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" spans="1:6" ht="16.5" thickTop="1" thickBot="1">
      <c r="A7" s="5" t="s">
        <v>5</v>
      </c>
      <c r="B7" s="2" t="s">
        <v>17</v>
      </c>
      <c r="C7" s="3" t="s">
        <v>18</v>
      </c>
      <c r="D7" s="1" t="s">
        <v>19</v>
      </c>
      <c r="E7" s="13">
        <f>-VLOOKUP(C7,[2]DashboardFixing!$F$6:H$34,3,FALSE)</f>
        <v>0.29979554086266119</v>
      </c>
      <c r="F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" spans="1:6" ht="16.5" hidden="1" thickTop="1" thickBot="1">
      <c r="A8" s="5" t="s">
        <v>5</v>
      </c>
      <c r="B8" s="2" t="s">
        <v>17</v>
      </c>
      <c r="C8" s="4" t="s">
        <v>20</v>
      </c>
      <c r="D8" s="1" t="s">
        <v>21</v>
      </c>
      <c r="E8" s="13">
        <f>-VLOOKUP(C8,[2]DashboardFixing!$F$6:H$34,3,FALSE)</f>
        <v>0</v>
      </c>
      <c r="F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9" spans="1:6" ht="16.5" thickTop="1" thickBot="1">
      <c r="A9" s="5" t="s">
        <v>5</v>
      </c>
      <c r="B9" s="2" t="s">
        <v>22</v>
      </c>
      <c r="C9" s="3" t="s">
        <v>23</v>
      </c>
      <c r="D9" s="1" t="s">
        <v>24</v>
      </c>
      <c r="E9" s="13">
        <f>-VLOOKUP(C9,[2]DashboardFixing!$F$6:H$34,3,FALSE)</f>
        <v>-9.7752924813824416E-2</v>
      </c>
      <c r="F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0" spans="1:6" ht="16.5" thickTop="1" thickBot="1">
      <c r="A10" s="5" t="s">
        <v>5</v>
      </c>
      <c r="B10" s="2" t="s">
        <v>22</v>
      </c>
      <c r="C10" s="3" t="s">
        <v>25</v>
      </c>
      <c r="D10" s="1" t="s">
        <v>26</v>
      </c>
      <c r="E10" s="13">
        <f>-VLOOKUP(C10,[2]DashboardFixing!$F$6:H$34,3,FALSE)</f>
        <v>-1.5150511697792132E-4</v>
      </c>
      <c r="F1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1" spans="1:6" ht="16.5" hidden="1" thickTop="1" thickBot="1">
      <c r="A11" s="5" t="s">
        <v>5</v>
      </c>
      <c r="B11" s="2" t="s">
        <v>22</v>
      </c>
      <c r="C11" s="3" t="s">
        <v>27</v>
      </c>
      <c r="D11" s="1" t="s">
        <v>28</v>
      </c>
      <c r="E11" s="13">
        <f>-VLOOKUP(C11,[2]DashboardFixing!$F$6:H$34,3,FALSE)</f>
        <v>0</v>
      </c>
      <c r="F1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2" spans="1:6" ht="16.5" hidden="1" thickTop="1" thickBot="1">
      <c r="A12" s="5" t="s">
        <v>5</v>
      </c>
      <c r="B12" s="2" t="s">
        <v>22</v>
      </c>
      <c r="C12" s="3" t="s">
        <v>29</v>
      </c>
      <c r="D12" s="1" t="s">
        <v>30</v>
      </c>
      <c r="E12" s="13">
        <f>-VLOOKUP(C12,[2]DashboardFixing!$F$6:H$34,3,FALSE)</f>
        <v>0</v>
      </c>
      <c r="F1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3" spans="1:6" ht="16.5" hidden="1" thickTop="1" thickBot="1">
      <c r="A13" s="5" t="s">
        <v>5</v>
      </c>
      <c r="B13" s="2" t="s">
        <v>22</v>
      </c>
      <c r="C13" s="4" t="s">
        <v>31</v>
      </c>
      <c r="D13" s="1" t="s">
        <v>32</v>
      </c>
      <c r="E13" s="13">
        <f>-VLOOKUP(C13,[2]DashboardFixing!$F$6:H$34,3,FALSE)</f>
        <v>0</v>
      </c>
      <c r="F1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4" spans="1:6" ht="16.5" thickTop="1" thickBot="1">
      <c r="A14" s="5" t="s">
        <v>5</v>
      </c>
      <c r="B14" s="2" t="s">
        <v>33</v>
      </c>
      <c r="C14" s="3" t="s">
        <v>34</v>
      </c>
      <c r="D14" s="1" t="s">
        <v>35</v>
      </c>
      <c r="E14" s="13">
        <f>-VLOOKUP(C14,[2]DashboardFixing!$F$6:H$34,3,FALSE)</f>
        <v>-4.9344375657036255E-2</v>
      </c>
      <c r="F1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5" spans="1:6" ht="16.5" thickTop="1" thickBot="1">
      <c r="A15" s="5" t="s">
        <v>5</v>
      </c>
      <c r="B15" s="2" t="s">
        <v>33</v>
      </c>
      <c r="C15" s="3" t="s">
        <v>36</v>
      </c>
      <c r="D15" s="1" t="s">
        <v>37</v>
      </c>
      <c r="E15" s="13">
        <f>-VLOOKUP(C15,[2]DashboardFixing!$F$6:H$34,3,FALSE)</f>
        <v>-8.129196474463761E-2</v>
      </c>
      <c r="F1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6" spans="1:6" ht="16.5" thickTop="1" thickBot="1">
      <c r="A16" s="5" t="s">
        <v>5</v>
      </c>
      <c r="B16" s="2" t="s">
        <v>33</v>
      </c>
      <c r="C16" s="4" t="s">
        <v>38</v>
      </c>
      <c r="D16" s="1" t="s">
        <v>39</v>
      </c>
      <c r="E16" s="13">
        <f>-VLOOKUP(C16,[2]DashboardFixing!$F$6:H$34,3,FALSE)</f>
        <v>-6.9051032992453471E-4</v>
      </c>
      <c r="F1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7" spans="1:6" ht="16.5" hidden="1" thickTop="1" thickBot="1">
      <c r="A17" s="5" t="s">
        <v>5</v>
      </c>
      <c r="B17" s="2" t="s">
        <v>40</v>
      </c>
      <c r="C17" s="3" t="s">
        <v>41</v>
      </c>
      <c r="D17" s="1" t="s">
        <v>42</v>
      </c>
      <c r="E17" s="13">
        <f>-VLOOKUP(C17,[2]DashboardFixing!$F$6:H$34,3,FALSE)</f>
        <v>0</v>
      </c>
      <c r="F1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8" spans="1:6" ht="16.5" hidden="1" thickTop="1" thickBot="1">
      <c r="A18" s="5" t="s">
        <v>5</v>
      </c>
      <c r="B18" s="2" t="s">
        <v>40</v>
      </c>
      <c r="C18" s="3" t="s">
        <v>43</v>
      </c>
      <c r="D18" s="1" t="s">
        <v>44</v>
      </c>
      <c r="E18" s="13">
        <f>-VLOOKUP(C18,[2]DashboardFixing!$F$6:H$34,3,FALSE)</f>
        <v>0</v>
      </c>
      <c r="F1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19" spans="1:6" ht="16.5" hidden="1" thickTop="1" thickBot="1">
      <c r="A19" s="5" t="s">
        <v>5</v>
      </c>
      <c r="B19" s="2" t="s">
        <v>40</v>
      </c>
      <c r="C19" s="3" t="s">
        <v>45</v>
      </c>
      <c r="D19" s="1" t="s">
        <v>46</v>
      </c>
      <c r="E19" s="13">
        <f>-VLOOKUP(C19,[2]DashboardFixing!$F$6:H$34,3,FALSE)</f>
        <v>0</v>
      </c>
      <c r="F1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0" spans="1:6" ht="16.5" thickTop="1" thickBot="1">
      <c r="A20" s="5" t="s">
        <v>5</v>
      </c>
      <c r="B20" s="2" t="s">
        <v>40</v>
      </c>
      <c r="C20" s="3" t="s">
        <v>47</v>
      </c>
      <c r="D20" s="1" t="s">
        <v>48</v>
      </c>
      <c r="E20" s="13">
        <f>-VLOOKUP(C20,[2]DashboardFixing!$F$6:H$34,3,FALSE)</f>
        <v>-5.6765034579067631E-4</v>
      </c>
      <c r="F2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1" spans="1:6" ht="16.5" thickTop="1" thickBot="1">
      <c r="A21" s="5" t="s">
        <v>5</v>
      </c>
      <c r="B21" s="2" t="s">
        <v>40</v>
      </c>
      <c r="C21" s="3" t="s">
        <v>49</v>
      </c>
      <c r="D21" s="1" t="s">
        <v>50</v>
      </c>
      <c r="E21" s="13">
        <f>-VLOOKUP(C21,[2]DashboardFixing!$F$6:H$34,3,FALSE)</f>
        <v>-2.0049353348674526E-5</v>
      </c>
      <c r="F2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2" spans="1:6" ht="16.5" hidden="1" thickTop="1" thickBot="1">
      <c r="A22" s="5" t="s">
        <v>5</v>
      </c>
      <c r="B22" s="2" t="s">
        <v>40</v>
      </c>
      <c r="C22" s="3" t="s">
        <v>51</v>
      </c>
      <c r="D22" s="1" t="s">
        <v>52</v>
      </c>
      <c r="E22" s="13">
        <f>-VLOOKUP(C22,[2]DashboardFixing!$F$6:H$34,3,FALSE)</f>
        <v>0</v>
      </c>
      <c r="F2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3" spans="1:6" ht="16.5" hidden="1" thickTop="1" thickBot="1">
      <c r="A23" s="5" t="s">
        <v>5</v>
      </c>
      <c r="B23" s="2" t="s">
        <v>40</v>
      </c>
      <c r="C23" s="3" t="s">
        <v>53</v>
      </c>
      <c r="D23" s="1" t="s">
        <v>54</v>
      </c>
      <c r="E23" s="13">
        <f>-VLOOKUP(C23,[2]DashboardFixing!$F$6:H$34,3,FALSE)</f>
        <v>0</v>
      </c>
      <c r="F2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4" spans="1:6" ht="16.5" hidden="1" thickTop="1" thickBot="1">
      <c r="A24" s="5" t="s">
        <v>5</v>
      </c>
      <c r="B24" s="2" t="s">
        <v>40</v>
      </c>
      <c r="C24" s="3" t="s">
        <v>55</v>
      </c>
      <c r="D24" s="1" t="s">
        <v>56</v>
      </c>
      <c r="E24" s="13">
        <f>-VLOOKUP(C24,[2]DashboardFixing!$F$6:H$34,3,FALSE)</f>
        <v>0</v>
      </c>
      <c r="F2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5" spans="1:6" ht="16.5" hidden="1" thickTop="1" thickBot="1">
      <c r="A25" s="5" t="s">
        <v>5</v>
      </c>
      <c r="B25" s="2" t="s">
        <v>40</v>
      </c>
      <c r="C25" s="4" t="s">
        <v>57</v>
      </c>
      <c r="D25" s="1" t="s">
        <v>58</v>
      </c>
      <c r="E25" s="13">
        <f>-VLOOKUP(C25,[2]DashboardFixing!$F$6:H$34,3,FALSE)</f>
        <v>0</v>
      </c>
      <c r="F2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6" spans="1:6" ht="16.5" hidden="1" thickTop="1" thickBot="1">
      <c r="A26" s="5" t="s">
        <v>59</v>
      </c>
      <c r="B26" s="2" t="s">
        <v>60</v>
      </c>
      <c r="C26" s="4" t="s">
        <v>61</v>
      </c>
      <c r="D26" s="1" t="s">
        <v>62</v>
      </c>
      <c r="E26" s="13">
        <f>+VLOOKUP(C26,[2]DashboardFixing!$Z$8:$AF$29,5,FALSE)</f>
        <v>0</v>
      </c>
      <c r="F2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7" spans="1:6" ht="16.5" hidden="1" thickTop="1" thickBot="1">
      <c r="A27" s="5" t="s">
        <v>59</v>
      </c>
      <c r="B27" s="2" t="s">
        <v>60</v>
      </c>
      <c r="C27" s="4" t="s">
        <v>63</v>
      </c>
      <c r="D27" s="1" t="s">
        <v>64</v>
      </c>
      <c r="E27" s="13">
        <f>+VLOOKUP(C27,[2]DashboardFixing!$Z$8:$AF$29,5,FALSE)</f>
        <v>0</v>
      </c>
      <c r="F2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8" spans="1:6" ht="16.5" hidden="1" thickTop="1" thickBot="1">
      <c r="A28" s="5" t="s">
        <v>59</v>
      </c>
      <c r="B28" s="2" t="s">
        <v>60</v>
      </c>
      <c r="C28" s="4" t="s">
        <v>65</v>
      </c>
      <c r="D28" s="1" t="s">
        <v>66</v>
      </c>
      <c r="E28" s="13">
        <f>+VLOOKUP(C28,[2]DashboardFixing!$Z$8:$AF$29,5,FALSE)</f>
        <v>0</v>
      </c>
      <c r="F2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29" spans="1:6" ht="16.5" thickTop="1" thickBot="1">
      <c r="A29" s="5" t="s">
        <v>59</v>
      </c>
      <c r="B29" s="2" t="s">
        <v>60</v>
      </c>
      <c r="C29" s="4" t="s">
        <v>67</v>
      </c>
      <c r="D29" s="1" t="s">
        <v>68</v>
      </c>
      <c r="E29" s="13">
        <f>+VLOOKUP(C29,[2]DashboardFixing!$Z$8:$AF$29,5,FALSE)</f>
        <v>0.1381013255221088</v>
      </c>
      <c r="F2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0" spans="1:6" ht="16.5" hidden="1" thickTop="1" thickBot="1">
      <c r="A30" s="5" t="s">
        <v>59</v>
      </c>
      <c r="B30" s="2" t="s">
        <v>60</v>
      </c>
      <c r="C30" s="4" t="s">
        <v>69</v>
      </c>
      <c r="D30" s="1" t="s">
        <v>70</v>
      </c>
      <c r="E30" s="13">
        <f>+VLOOKUP(C30,[2]DashboardFixing!$Z$8:$AF$29,5,FALSE)</f>
        <v>0</v>
      </c>
      <c r="F3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1" spans="1:6" ht="16.5" hidden="1" thickTop="1" thickBot="1">
      <c r="A31" s="5" t="s">
        <v>59</v>
      </c>
      <c r="B31" s="2" t="s">
        <v>71</v>
      </c>
      <c r="C31" s="4" t="s">
        <v>72</v>
      </c>
      <c r="D31" s="1" t="s">
        <v>73</v>
      </c>
      <c r="E31" s="13">
        <f>+VLOOKUP(C31,[2]DashboardFixing!$Z$8:$AF$29,5,FALSE)</f>
        <v>0</v>
      </c>
      <c r="F3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2" spans="1:6" ht="16.5" hidden="1" thickTop="1" thickBot="1">
      <c r="A32" s="5" t="s">
        <v>59</v>
      </c>
      <c r="B32" s="2" t="s">
        <v>71</v>
      </c>
      <c r="C32" s="4" t="s">
        <v>74</v>
      </c>
      <c r="D32" s="1" t="s">
        <v>75</v>
      </c>
      <c r="E32" s="13">
        <f>+VLOOKUP(C32,[2]DashboardFixing!$Z$8:$AF$29,5,FALSE)</f>
        <v>0</v>
      </c>
      <c r="F3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3" spans="1:6" ht="16.5" thickTop="1" thickBot="1">
      <c r="A33" s="5" t="s">
        <v>59</v>
      </c>
      <c r="B33" s="2" t="s">
        <v>71</v>
      </c>
      <c r="C33" s="4" t="s">
        <v>76</v>
      </c>
      <c r="D33" s="1" t="s">
        <v>77</v>
      </c>
      <c r="E33" s="13">
        <f>+VLOOKUP(C33,[2]DashboardFixing!$Z$8:$AF$29,5,FALSE)</f>
        <v>0.49709728889725163</v>
      </c>
      <c r="F3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4" spans="1:6" ht="16.5" thickTop="1" thickBot="1">
      <c r="A34" s="5" t="s">
        <v>59</v>
      </c>
      <c r="B34" s="2" t="s">
        <v>71</v>
      </c>
      <c r="C34" s="4" t="s">
        <v>78</v>
      </c>
      <c r="D34" s="1" t="s">
        <v>79</v>
      </c>
      <c r="E34" s="13">
        <f>+VLOOKUP(C34,[2]DashboardFixing!$Z$8:$AF$29,5,FALSE)</f>
        <v>0.10349375717678211</v>
      </c>
      <c r="F3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5" spans="1:6" ht="16.5" thickTop="1" thickBot="1">
      <c r="A35" s="5" t="s">
        <v>59</v>
      </c>
      <c r="B35" s="2" t="s">
        <v>71</v>
      </c>
      <c r="C35" s="4" t="s">
        <v>80</v>
      </c>
      <c r="D35" s="1" t="s">
        <v>81</v>
      </c>
      <c r="E35" s="13">
        <f>+VLOOKUP(C35,[2]DashboardFixing!$Z$8:$AF$29,5,FALSE)</f>
        <v>-0.14654565146384813</v>
      </c>
      <c r="F3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6" spans="1:6" ht="16.5" hidden="1" thickTop="1" thickBot="1">
      <c r="A36" s="5" t="s">
        <v>59</v>
      </c>
      <c r="B36" s="2" t="s">
        <v>71</v>
      </c>
      <c r="C36" s="4" t="s">
        <v>71</v>
      </c>
      <c r="D36" s="1" t="s">
        <v>82</v>
      </c>
      <c r="E36" s="13">
        <f>+VLOOKUP(C36,[2]DashboardFixing!$Z$8:$AF$29,5,FALSE)</f>
        <v>0</v>
      </c>
      <c r="F3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7" spans="1:6" ht="16.5" hidden="1" thickTop="1" thickBot="1">
      <c r="A37" s="5" t="s">
        <v>59</v>
      </c>
      <c r="B37" s="2" t="s">
        <v>71</v>
      </c>
      <c r="C37" s="4" t="s">
        <v>83</v>
      </c>
      <c r="D37" s="1" t="s">
        <v>84</v>
      </c>
      <c r="E37" s="13">
        <f>+VLOOKUP(C37,[2]DashboardFixing!$Z$8:$AF$29,5,FALSE)</f>
        <v>0</v>
      </c>
      <c r="F3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8" spans="1:6" ht="16.5" hidden="1" thickTop="1" thickBot="1">
      <c r="A38" s="5" t="s">
        <v>59</v>
      </c>
      <c r="B38" s="2" t="s">
        <v>85</v>
      </c>
      <c r="C38" s="4" t="s">
        <v>86</v>
      </c>
      <c r="D38" s="1" t="s">
        <v>87</v>
      </c>
      <c r="E38" s="13">
        <f>+VLOOKUP(C38,[2]DashboardFixing!$Z$8:$AF$29,5,FALSE)</f>
        <v>0</v>
      </c>
      <c r="F3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39" spans="1:6" ht="16.5" hidden="1" thickTop="1" thickBot="1">
      <c r="A39" s="5" t="s">
        <v>59</v>
      </c>
      <c r="B39" s="2" t="s">
        <v>88</v>
      </c>
      <c r="C39" s="4" t="s">
        <v>89</v>
      </c>
      <c r="D39" s="1" t="s">
        <v>90</v>
      </c>
      <c r="E39" s="13">
        <f>+VLOOKUP(C39,[2]DashboardFixing!$Z$8:$AF$29,5,FALSE)</f>
        <v>0</v>
      </c>
      <c r="F3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0" spans="1:6" ht="16.5" hidden="1" thickTop="1" thickBot="1">
      <c r="A40" s="5" t="s">
        <v>59</v>
      </c>
      <c r="B40" s="2" t="s">
        <v>88</v>
      </c>
      <c r="C40" s="4" t="s">
        <v>91</v>
      </c>
      <c r="D40" s="1" t="s">
        <v>92</v>
      </c>
      <c r="E40" s="13">
        <f>+VLOOKUP(C40,[2]DashboardFixing!$Z$8:$AF$29,5,FALSE)</f>
        <v>0</v>
      </c>
      <c r="F4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1" spans="1:6" ht="16.5" hidden="1" thickTop="1" thickBot="1">
      <c r="A41" s="5" t="s">
        <v>59</v>
      </c>
      <c r="B41" s="2" t="s">
        <v>93</v>
      </c>
      <c r="C41" s="4" t="s">
        <v>94</v>
      </c>
      <c r="D41" s="1" t="s">
        <v>95</v>
      </c>
      <c r="E41" s="13">
        <f>+VLOOKUP(C41,[2]DashboardFixing!$Z$8:$AF$29,5,FALSE)</f>
        <v>0</v>
      </c>
      <c r="F4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2" spans="1:6" ht="16.5" hidden="1" thickTop="1" thickBot="1">
      <c r="A42" s="5" t="s">
        <v>59</v>
      </c>
      <c r="B42" s="2" t="s">
        <v>93</v>
      </c>
      <c r="C42" s="4" t="s">
        <v>96</v>
      </c>
      <c r="D42" s="1" t="s">
        <v>97</v>
      </c>
      <c r="E42" s="13">
        <f>+VLOOKUP(C42,[2]DashboardFixing!$Z$8:$AF$29,5,FALSE)</f>
        <v>0</v>
      </c>
      <c r="F4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3" spans="1:6" ht="16.5" hidden="1" thickTop="1" thickBot="1">
      <c r="A43" s="5" t="s">
        <v>59</v>
      </c>
      <c r="B43" s="2" t="s">
        <v>98</v>
      </c>
      <c r="C43" s="4" t="s">
        <v>99</v>
      </c>
      <c r="D43" s="1" t="s">
        <v>100</v>
      </c>
      <c r="E43" s="13">
        <f>+VLOOKUP(C43,[2]DashboardFixing!$Z$8:$AF$29,5,FALSE)</f>
        <v>0</v>
      </c>
      <c r="F4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4" spans="1:6" ht="16.5" hidden="1" thickTop="1" thickBot="1">
      <c r="A44" s="5" t="s">
        <v>59</v>
      </c>
      <c r="B44" s="2" t="s">
        <v>98</v>
      </c>
      <c r="C44" s="4" t="s">
        <v>101</v>
      </c>
      <c r="D44" s="1" t="s">
        <v>102</v>
      </c>
      <c r="E44" s="13">
        <f>+VLOOKUP(C44,[2]DashboardFixing!$Z$8:$AF$29,5,FALSE)</f>
        <v>0</v>
      </c>
      <c r="F4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5" spans="1:6" ht="16.5" hidden="1" thickTop="1" thickBot="1">
      <c r="A45" s="5" t="s">
        <v>59</v>
      </c>
      <c r="B45" s="2" t="s">
        <v>103</v>
      </c>
      <c r="C45" s="4" t="s">
        <v>104</v>
      </c>
      <c r="D45" s="1" t="s">
        <v>105</v>
      </c>
      <c r="E45" s="13">
        <f>+VLOOKUP(C45,[2]DashboardFixing!$Z$8:$AF$29,5,FALSE)</f>
        <v>0</v>
      </c>
      <c r="F4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6" spans="1:6" ht="16.5" thickTop="1" thickBot="1">
      <c r="A46" s="5" t="s">
        <v>59</v>
      </c>
      <c r="B46" s="2" t="s">
        <v>106</v>
      </c>
      <c r="C46" s="4" t="s">
        <v>107</v>
      </c>
      <c r="D46" s="1" t="s">
        <v>108</v>
      </c>
      <c r="E46" s="13">
        <f>+VLOOKUP(C46,[2]DashboardFixing!$Z$8:$AF$29,5,FALSE)</f>
        <v>-0.10474485106593472</v>
      </c>
      <c r="F4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7" spans="1:6" ht="16.5" hidden="1" thickTop="1" thickBot="1">
      <c r="A47" s="5" t="s">
        <v>59</v>
      </c>
      <c r="B47" s="2" t="s">
        <v>109</v>
      </c>
      <c r="C47" s="4" t="s">
        <v>110</v>
      </c>
      <c r="D47" s="1" t="s">
        <v>111</v>
      </c>
      <c r="E47" s="13">
        <f>+VLOOKUP(C47,[2]DashboardFixing!$Z$8:$AF$29,5,FALSE)</f>
        <v>0</v>
      </c>
      <c r="F4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8" spans="1:6" ht="16.5" hidden="1" thickTop="1" thickBot="1">
      <c r="A48" s="5" t="s">
        <v>112</v>
      </c>
      <c r="B48" s="2" t="s">
        <v>71</v>
      </c>
      <c r="C48" s="4" t="s">
        <v>113</v>
      </c>
      <c r="D48" s="1" t="s">
        <v>114</v>
      </c>
      <c r="E48" s="13">
        <f>+VLOOKUP(C48,[2]DashboardFixing!$AN$8:$AQ$36,4,FALSE)+VLOOKUP(C48,[2]DashboardFixing!$AN$8:$AR$36,5,FALSE)</f>
        <v>0</v>
      </c>
      <c r="F4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49" spans="1:6" ht="16.5" thickTop="1" thickBot="1">
      <c r="A49" s="5" t="s">
        <v>112</v>
      </c>
      <c r="B49" s="2" t="s">
        <v>71</v>
      </c>
      <c r="C49" s="4" t="s">
        <v>115</v>
      </c>
      <c r="D49" s="1" t="s">
        <v>116</v>
      </c>
      <c r="E49" s="13">
        <f>+VLOOKUP(C49,[2]DashboardFixing!$AN$8:$AQ$36,4,FALSE)+VLOOKUP(C49,[2]DashboardFixing!$AN$8:$AR$36,5,FALSE)</f>
        <v>0.22390386160290915</v>
      </c>
      <c r="F4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0" spans="1:6" ht="16.5" hidden="1" thickTop="1" thickBot="1">
      <c r="A50" s="5" t="s">
        <v>112</v>
      </c>
      <c r="B50" s="2" t="s">
        <v>71</v>
      </c>
      <c r="C50" s="4" t="s">
        <v>117</v>
      </c>
      <c r="D50" s="1" t="s">
        <v>118</v>
      </c>
      <c r="E50" s="13">
        <f>+VLOOKUP(C50,[2]DashboardFixing!$AN$8:$AQ$36,4,FALSE)+VLOOKUP(C50,[2]DashboardFixing!$AN$8:$AR$36,5,FALSE)</f>
        <v>0</v>
      </c>
      <c r="F5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1" spans="1:6" ht="16.5" hidden="1" thickTop="1" thickBot="1">
      <c r="A51" s="5" t="s">
        <v>112</v>
      </c>
      <c r="B51" s="2" t="s">
        <v>71</v>
      </c>
      <c r="C51" s="4" t="s">
        <v>119</v>
      </c>
      <c r="D51" s="1" t="s">
        <v>120</v>
      </c>
      <c r="E51" s="13">
        <f>+VLOOKUP(C51,[2]DashboardFixing!$AN$8:$AQ$36,4,FALSE)+VLOOKUP(C51,[2]DashboardFixing!$AN$8:$AR$36,5,FALSE)</f>
        <v>0</v>
      </c>
      <c r="F5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2" spans="1:6" ht="16.5" hidden="1" thickTop="1" thickBot="1">
      <c r="A52" s="5" t="s">
        <v>112</v>
      </c>
      <c r="B52" s="2" t="s">
        <v>121</v>
      </c>
      <c r="C52" s="4" t="s">
        <v>122</v>
      </c>
      <c r="D52" s="1" t="s">
        <v>123</v>
      </c>
      <c r="E52" s="13">
        <f>+VLOOKUP(C52,[2]DashboardFixing!$AN$8:$AQ$36,4,FALSE)+VLOOKUP(C52,[2]DashboardFixing!$AN$8:$AR$36,5,FALSE)</f>
        <v>0</v>
      </c>
      <c r="F5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3" spans="1:6" ht="16.5" thickTop="1" thickBot="1">
      <c r="A53" s="5" t="s">
        <v>112</v>
      </c>
      <c r="B53" s="2" t="s">
        <v>121</v>
      </c>
      <c r="C53" s="4" t="s">
        <v>103</v>
      </c>
      <c r="D53" s="1" t="s">
        <v>124</v>
      </c>
      <c r="E53" s="13">
        <f>+VLOOKUP(C53,[2]DashboardFixing!$AN$8:$AQ$36,4,FALSE)+VLOOKUP(C53,[2]DashboardFixing!$AN$8:$AR$36,5,FALSE)</f>
        <v>5.6538482354572199E-2</v>
      </c>
      <c r="F5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4" spans="1:6" ht="16.5" hidden="1" thickTop="1" thickBot="1">
      <c r="A54" s="5" t="s">
        <v>112</v>
      </c>
      <c r="B54" s="2" t="s">
        <v>121</v>
      </c>
      <c r="C54" s="4" t="s">
        <v>125</v>
      </c>
      <c r="D54" s="1" t="s">
        <v>126</v>
      </c>
      <c r="E54" s="13">
        <f>+VLOOKUP(C54,[2]DashboardFixing!$AN$8:$AQ$36,4,FALSE)+VLOOKUP(C54,[2]DashboardFixing!$AN$8:$AR$36,5,FALSE)</f>
        <v>0</v>
      </c>
      <c r="F5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5" spans="1:6" ht="16.5" hidden="1" thickTop="1" thickBot="1">
      <c r="A55" s="5" t="s">
        <v>112</v>
      </c>
      <c r="B55" s="2" t="s">
        <v>121</v>
      </c>
      <c r="C55" s="4" t="s">
        <v>127</v>
      </c>
      <c r="D55" s="1" t="s">
        <v>128</v>
      </c>
      <c r="E55" s="13">
        <f>+VLOOKUP(C55,[2]DashboardFixing!$AN$8:$AQ$36,4,FALSE)+VLOOKUP(C55,[2]DashboardFixing!$AN$8:$AR$36,5,FALSE)</f>
        <v>0</v>
      </c>
      <c r="F5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6" spans="1:6" ht="16.5" hidden="1" thickTop="1" thickBot="1">
      <c r="A56" s="5" t="s">
        <v>112</v>
      </c>
      <c r="B56" s="2" t="s">
        <v>121</v>
      </c>
      <c r="C56" s="4" t="s">
        <v>129</v>
      </c>
      <c r="D56" s="1" t="s">
        <v>130</v>
      </c>
      <c r="E56" s="13">
        <f>+VLOOKUP(C56,[2]DashboardFixing!$AN$8:$AQ$36,4,FALSE)+VLOOKUP(C56,[2]DashboardFixing!$AN$8:$AR$36,5,FALSE)</f>
        <v>0</v>
      </c>
      <c r="F5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7" spans="1:6" ht="16.5" hidden="1" thickTop="1" thickBot="1">
      <c r="A57" s="5" t="s">
        <v>112</v>
      </c>
      <c r="B57" s="2" t="s">
        <v>121</v>
      </c>
      <c r="C57" s="4" t="s">
        <v>131</v>
      </c>
      <c r="D57" s="1" t="s">
        <v>132</v>
      </c>
      <c r="E57" s="13">
        <f>+VLOOKUP(C57,[2]DashboardFixing!$AN$8:$AQ$36,4,FALSE)+VLOOKUP(C57,[2]DashboardFixing!$AN$8:$AR$36,5,FALSE)</f>
        <v>0</v>
      </c>
      <c r="F5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8" spans="1:6" ht="16.5" hidden="1" thickTop="1" thickBot="1">
      <c r="A58" s="5" t="s">
        <v>112</v>
      </c>
      <c r="B58" s="2" t="s">
        <v>121</v>
      </c>
      <c r="C58" s="4" t="s">
        <v>133</v>
      </c>
      <c r="D58" s="1" t="s">
        <v>134</v>
      </c>
      <c r="E58" s="13">
        <f>+VLOOKUP(C58,[2]DashboardFixing!$AN$8:$AQ$36,4,FALSE)+VLOOKUP(C58,[2]DashboardFixing!$AN$8:$AR$36,5,FALSE)</f>
        <v>0</v>
      </c>
      <c r="F5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59" spans="1:6" ht="16.5" hidden="1" thickTop="1" thickBot="1">
      <c r="A59" s="5" t="s">
        <v>112</v>
      </c>
      <c r="B59" s="2" t="s">
        <v>121</v>
      </c>
      <c r="C59" s="4" t="s">
        <v>135</v>
      </c>
      <c r="D59" s="1" t="s">
        <v>136</v>
      </c>
      <c r="E59" s="13">
        <f>+VLOOKUP(C59,[2]DashboardFixing!$AN$8:$AQ$36,4,FALSE)+VLOOKUP(C59,[2]DashboardFixing!$AN$8:$AR$36,5,FALSE)</f>
        <v>0</v>
      </c>
      <c r="F5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0" spans="1:6" ht="16.5" hidden="1" thickTop="1" thickBot="1">
      <c r="A60" s="5" t="s">
        <v>112</v>
      </c>
      <c r="B60" s="2" t="s">
        <v>121</v>
      </c>
      <c r="C60" s="4" t="s">
        <v>137</v>
      </c>
      <c r="D60" s="1" t="s">
        <v>138</v>
      </c>
      <c r="E60" s="13">
        <f>+VLOOKUP(C60,[2]DashboardFixing!$AN$8:$AQ$36,4,FALSE)+VLOOKUP(C60,[2]DashboardFixing!$AN$8:$AR$36,5,FALSE)</f>
        <v>0</v>
      </c>
      <c r="F6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1" spans="1:6" ht="16.5" hidden="1" thickTop="1" thickBot="1">
      <c r="A61" s="5" t="s">
        <v>112</v>
      </c>
      <c r="B61" s="2" t="s">
        <v>121</v>
      </c>
      <c r="C61" s="4" t="s">
        <v>139</v>
      </c>
      <c r="D61" s="1" t="s">
        <v>140</v>
      </c>
      <c r="E61" s="13">
        <f>+VLOOKUP(C61,[2]DashboardFixing!$AN$8:$AQ$36,4,FALSE)+VLOOKUP(C61,[2]DashboardFixing!$AN$8:$AR$36,5,FALSE)</f>
        <v>0</v>
      </c>
      <c r="F6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2" spans="1:6" ht="16.5" hidden="1" thickTop="1" thickBot="1">
      <c r="A62" s="5" t="s">
        <v>112</v>
      </c>
      <c r="B62" s="2" t="s">
        <v>121</v>
      </c>
      <c r="C62" s="4" t="s">
        <v>141</v>
      </c>
      <c r="D62" s="1" t="s">
        <v>142</v>
      </c>
      <c r="E62" s="13">
        <f>+VLOOKUP(C62,[2]DashboardFixing!$AN$8:$AQ$36,4,FALSE)+VLOOKUP(C62,[2]DashboardFixing!$AN$8:$AR$36,5,FALSE)</f>
        <v>0</v>
      </c>
      <c r="F6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3" spans="1:6" ht="16.5" hidden="1" thickTop="1" thickBot="1">
      <c r="A63" s="5" t="s">
        <v>112</v>
      </c>
      <c r="B63" s="2" t="s">
        <v>121</v>
      </c>
      <c r="C63" s="4" t="s">
        <v>143</v>
      </c>
      <c r="D63" s="1" t="s">
        <v>144</v>
      </c>
      <c r="E63" s="13">
        <f>+VLOOKUP(C63,[2]DashboardFixing!$AN$8:$AQ$36,4,FALSE)+VLOOKUP(C63,[2]DashboardFixing!$AN$8:$AR$36,5,FALSE)</f>
        <v>0</v>
      </c>
      <c r="F6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4" spans="1:6" ht="16.5" hidden="1" thickTop="1" thickBot="1">
      <c r="A64" s="5" t="s">
        <v>112</v>
      </c>
      <c r="B64" s="2" t="s">
        <v>121</v>
      </c>
      <c r="C64" s="4" t="s">
        <v>145</v>
      </c>
      <c r="D64" s="1" t="s">
        <v>146</v>
      </c>
      <c r="E64" s="13">
        <f>+VLOOKUP(C64,[2]DashboardFixing!$AN$8:$AQ$36,4,FALSE)+VLOOKUP(C64,[2]DashboardFixing!$AN$8:$AR$36,5,FALSE)</f>
        <v>0</v>
      </c>
      <c r="F6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5" spans="1:6" ht="16.5" hidden="1" thickTop="1" thickBot="1">
      <c r="A65" s="5" t="s">
        <v>112</v>
      </c>
      <c r="B65" s="2" t="s">
        <v>121</v>
      </c>
      <c r="C65" s="4" t="s">
        <v>147</v>
      </c>
      <c r="D65" s="1" t="s">
        <v>148</v>
      </c>
      <c r="E65" s="13">
        <f>+VLOOKUP(C65,[2]DashboardFixing!$AN$8:$AQ$36,4,FALSE)+VLOOKUP(C65,[2]DashboardFixing!$AN$8:$AR$36,5,FALSE)</f>
        <v>0</v>
      </c>
      <c r="F6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6" spans="1:6" ht="16.5" hidden="1" thickTop="1" thickBot="1">
      <c r="A66" s="5" t="s">
        <v>112</v>
      </c>
      <c r="B66" s="2" t="s">
        <v>121</v>
      </c>
      <c r="C66" s="4" t="s">
        <v>149</v>
      </c>
      <c r="D66" s="1" t="s">
        <v>150</v>
      </c>
      <c r="E66" s="13">
        <f>+VLOOKUP(C66,[2]DashboardFixing!$AN$8:$AQ$36,4,FALSE)+VLOOKUP(C66,[2]DashboardFixing!$AN$8:$AR$36,5,FALSE)</f>
        <v>0</v>
      </c>
      <c r="F6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7" spans="1:6" ht="16.5" hidden="1" thickTop="1" thickBot="1">
      <c r="A67" s="5" t="s">
        <v>112</v>
      </c>
      <c r="B67" s="2" t="s">
        <v>121</v>
      </c>
      <c r="C67" s="4" t="s">
        <v>151</v>
      </c>
      <c r="D67" s="1" t="s">
        <v>152</v>
      </c>
      <c r="E67" s="13">
        <f>+VLOOKUP(C67,[2]DashboardFixing!$AN$8:$AQ$36,4,FALSE)+VLOOKUP(C67,[2]DashboardFixing!$AN$8:$AR$36,5,FALSE)</f>
        <v>0</v>
      </c>
      <c r="F6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8" spans="1:6" ht="16.5" hidden="1" thickTop="1" thickBot="1">
      <c r="A68" s="5" t="s">
        <v>112</v>
      </c>
      <c r="B68" s="2" t="s">
        <v>121</v>
      </c>
      <c r="C68" s="4" t="s">
        <v>153</v>
      </c>
      <c r="D68" s="1" t="s">
        <v>154</v>
      </c>
      <c r="E68" s="13">
        <f>+VLOOKUP(C68,[2]DashboardFixing!$AN$8:$AQ$36,4,FALSE)+VLOOKUP(C68,[2]DashboardFixing!$AN$8:$AR$36,5,FALSE)</f>
        <v>0</v>
      </c>
      <c r="F6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69" spans="1:6" ht="16.5" hidden="1" thickTop="1" thickBot="1">
      <c r="A69" s="5" t="s">
        <v>112</v>
      </c>
      <c r="B69" s="2" t="s">
        <v>155</v>
      </c>
      <c r="C69" s="4" t="s">
        <v>156</v>
      </c>
      <c r="D69" s="1" t="s">
        <v>157</v>
      </c>
      <c r="E69" s="13">
        <f>+VLOOKUP(C69,[2]DashboardFixing!$AN$8:$AQ$36,4,FALSE)+VLOOKUP(C69,[2]DashboardFixing!$AN$8:$AR$36,5,FALSE)</f>
        <v>0</v>
      </c>
      <c r="F6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0" spans="1:6" ht="16.5" hidden="1" thickTop="1" thickBot="1">
      <c r="A70" s="5" t="s">
        <v>112</v>
      </c>
      <c r="B70" s="2" t="s">
        <v>155</v>
      </c>
      <c r="C70" s="4" t="s">
        <v>158</v>
      </c>
      <c r="D70" s="1" t="s">
        <v>159</v>
      </c>
      <c r="E70" s="13">
        <f>+VLOOKUP(C70,[2]DashboardFixing!$AN$8:$AQ$36,4,FALSE)+VLOOKUP(C70,[2]DashboardFixing!$AN$8:$AR$36,5,FALSE)</f>
        <v>0</v>
      </c>
      <c r="F7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1" spans="1:6" ht="16.5" hidden="1" thickTop="1" thickBot="1">
      <c r="A71" s="5" t="s">
        <v>112</v>
      </c>
      <c r="B71" s="2" t="s">
        <v>155</v>
      </c>
      <c r="C71" s="4" t="s">
        <v>160</v>
      </c>
      <c r="D71" s="1" t="s">
        <v>161</v>
      </c>
      <c r="E71" s="13">
        <f>+VLOOKUP(C71,[2]DashboardFixing!$AN$8:$AQ$36,4,FALSE)+VLOOKUP(C71,[2]DashboardFixing!$AN$8:$AR$36,5,FALSE)</f>
        <v>0</v>
      </c>
      <c r="F7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2" spans="1:6" ht="16.5" hidden="1" thickTop="1" thickBot="1">
      <c r="A72" s="5" t="s">
        <v>112</v>
      </c>
      <c r="B72" s="2" t="s">
        <v>155</v>
      </c>
      <c r="C72" s="4" t="s">
        <v>162</v>
      </c>
      <c r="D72" s="1" t="s">
        <v>163</v>
      </c>
      <c r="E72" s="13">
        <f>+VLOOKUP(C72,[2]DashboardFixing!$AN$8:$AQ$36,4,FALSE)+VLOOKUP(C72,[2]DashboardFixing!$AN$8:$AR$36,5,FALSE)</f>
        <v>0</v>
      </c>
      <c r="F7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3" spans="1:6" ht="16.5" hidden="1" thickTop="1" thickBot="1">
      <c r="A73" s="5" t="s">
        <v>112</v>
      </c>
      <c r="B73" s="2" t="s">
        <v>155</v>
      </c>
      <c r="C73" s="4" t="s">
        <v>164</v>
      </c>
      <c r="D73" s="1" t="s">
        <v>165</v>
      </c>
      <c r="E73" s="13">
        <f>+VLOOKUP(C73,[2]DashboardFixing!$AN$8:$AQ$36,4,FALSE)+VLOOKUP(C73,[2]DashboardFixing!$AN$8:$AR$36,5,FALSE)</f>
        <v>0</v>
      </c>
      <c r="F7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4" spans="1:6" ht="16.5" hidden="1" thickTop="1" thickBot="1">
      <c r="A74" s="5" t="s">
        <v>112</v>
      </c>
      <c r="B74" s="2" t="s">
        <v>155</v>
      </c>
      <c r="C74" s="4" t="s">
        <v>166</v>
      </c>
      <c r="D74" s="1" t="s">
        <v>167</v>
      </c>
      <c r="E74" s="13">
        <f>+VLOOKUP(C74,[2]DashboardFixing!$AN$8:$AQ$36,4,FALSE)+VLOOKUP(C74,[2]DashboardFixing!$AN$8:$AR$36,5,FALSE)</f>
        <v>0</v>
      </c>
      <c r="F7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5" spans="1:6" ht="16.5" hidden="1" thickTop="1" thickBot="1">
      <c r="A75" s="5" t="s">
        <v>112</v>
      </c>
      <c r="B75" s="2" t="s">
        <v>155</v>
      </c>
      <c r="C75" s="4" t="s">
        <v>168</v>
      </c>
      <c r="D75" s="1" t="s">
        <v>169</v>
      </c>
      <c r="E75" s="13">
        <f>+VLOOKUP(C75,[2]DashboardFixing!$AN$8:$AQ$36,4,FALSE)+VLOOKUP(C75,[2]DashboardFixing!$AN$8:$AR$36,5,FALSE)</f>
        <v>0</v>
      </c>
      <c r="F75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6" spans="1:6" ht="16.5" thickTop="1" thickBot="1">
      <c r="A76" s="5" t="s">
        <v>112</v>
      </c>
      <c r="B76" s="2" t="s">
        <v>170</v>
      </c>
      <c r="C76" s="4" t="s">
        <v>171</v>
      </c>
      <c r="D76" s="1" t="s">
        <v>172</v>
      </c>
      <c r="E76" s="13">
        <f>+VLOOKUP(C76,[2]DashboardFixing!$AN$8:$AQ$36,4,FALSE)+VLOOKUP(C76,[2]DashboardFixing!$AN$8:$AR$36,5,FALSE)</f>
        <v>7.3113303054897952E-2</v>
      </c>
      <c r="F76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7" spans="1:6" ht="16.5" hidden="1" thickTop="1" thickBot="1">
      <c r="A77" s="5" t="s">
        <v>173</v>
      </c>
      <c r="B77" s="2" t="s">
        <v>174</v>
      </c>
      <c r="C77" s="4" t="s">
        <v>175</v>
      </c>
      <c r="D77" s="1" t="s">
        <v>176</v>
      </c>
      <c r="E77" s="13">
        <f>+VLOOKUP(C77,[2]DashboardFixing!$AY$8:$BB$15,4,FALSE)</f>
        <v>0</v>
      </c>
      <c r="F77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8" spans="1:6" ht="16.5" hidden="1" thickTop="1" thickBot="1">
      <c r="A78" s="5" t="s">
        <v>173</v>
      </c>
      <c r="B78" s="2" t="s">
        <v>177</v>
      </c>
      <c r="C78" s="4" t="s">
        <v>178</v>
      </c>
      <c r="D78" s="1" t="s">
        <v>179</v>
      </c>
      <c r="E78" s="13">
        <f>+VLOOKUP(C78,[2]DashboardFixing!$AY$8:$BB$15,4,FALSE)</f>
        <v>0</v>
      </c>
      <c r="F78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79" spans="1:6" ht="16.5" hidden="1" thickTop="1" thickBot="1">
      <c r="A79" s="5" t="s">
        <v>173</v>
      </c>
      <c r="B79" s="2" t="s">
        <v>180</v>
      </c>
      <c r="C79" s="4" t="s">
        <v>181</v>
      </c>
      <c r="D79" s="1" t="s">
        <v>182</v>
      </c>
      <c r="E79" s="13">
        <f>+VLOOKUP(C79,[2]DashboardFixing!$AY$8:$BB$15,4,FALSE)</f>
        <v>0</v>
      </c>
      <c r="F79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0" spans="1:6" ht="16.5" hidden="1" thickTop="1" thickBot="1">
      <c r="A80" s="5" t="s">
        <v>173</v>
      </c>
      <c r="B80" s="2" t="s">
        <v>183</v>
      </c>
      <c r="C80" s="4" t="s">
        <v>184</v>
      </c>
      <c r="D80" s="1" t="s">
        <v>185</v>
      </c>
      <c r="E80" s="13">
        <f>+VLOOKUP(C80,[2]DashboardFixing!$AY$8:$BB$15,4,FALSE)</f>
        <v>0</v>
      </c>
      <c r="F80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1" spans="1:6" ht="16.5" thickTop="1" thickBot="1">
      <c r="A81" s="5" t="s">
        <v>173</v>
      </c>
      <c r="B81" s="2" t="s">
        <v>186</v>
      </c>
      <c r="C81" s="4" t="s">
        <v>187</v>
      </c>
      <c r="D81" s="1" t="s">
        <v>188</v>
      </c>
      <c r="E81" s="13">
        <f>+VLOOKUP(C81,[2]DashboardFixing!$AY$8:$BB$15,4,FALSE)</f>
        <v>7.6696314022241634E-3</v>
      </c>
      <c r="F81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2" spans="1:6" ht="16.5" hidden="1" thickTop="1" thickBot="1">
      <c r="A82" s="5" t="s">
        <v>173</v>
      </c>
      <c r="B82" s="2" t="s">
        <v>189</v>
      </c>
      <c r="C82" s="4" t="s">
        <v>190</v>
      </c>
      <c r="D82" s="1" t="s">
        <v>191</v>
      </c>
      <c r="E82" s="13">
        <f>+VLOOKUP(C82,[2]DashboardFixing!$AY$8:$BB$15,4,FALSE)</f>
        <v>0</v>
      </c>
      <c r="F82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3" spans="1:6" ht="16.5" hidden="1" thickTop="1" thickBot="1">
      <c r="A83" s="5" t="s">
        <v>173</v>
      </c>
      <c r="B83" s="2" t="s">
        <v>192</v>
      </c>
      <c r="C83" s="4" t="s">
        <v>193</v>
      </c>
      <c r="D83" s="1" t="s">
        <v>194</v>
      </c>
      <c r="E83" s="13">
        <f>+VLOOKUP(C83,[2]DashboardFixing!$AY$8:$BB$15,4,FALSE)</f>
        <v>0</v>
      </c>
      <c r="F83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4" spans="1:6" ht="16.5" thickTop="1" thickBot="1">
      <c r="A84" s="5" t="s">
        <v>173</v>
      </c>
      <c r="B84" s="2" t="s">
        <v>195</v>
      </c>
      <c r="C84" s="4" t="s">
        <v>196</v>
      </c>
      <c r="D84" s="1" t="s">
        <v>197</v>
      </c>
      <c r="E84" s="13">
        <f>+VLOOKUP(C84,[2]DashboardFixing!$AY$8:$BB$15,4,FALSE)</f>
        <v>2.3869976465898383E-2</v>
      </c>
      <c r="F84" s="11" t="str">
        <v>FileNotFoundError: [Errno 2] No such file or directory: 'Data\\VCV_LAST.xlsx'
    handle = open(handle, ioargs.mode)
  File "C:\Users\n.normand\Anaconda3\lib\site-packages\pandas\io\common.py", line 795, in get_handle
    with get_handle(
  File "C:\Users\n.normand\Anaconda3\lib\site-packages\pandas\io\excel\_base.py", line 1250, in inspect_excel_format
    ext = inspect_excel_format(
  File "C:\Users\n.normand\Anaconda3\lib\site-packages\pandas\io\excel\_base.py", line 1376, in __init__
    io = ExcelFile(io, storage_options=storage_options, engine=engine)
  File "C:\Users\n.normand\Anaconda3\lib\site-packages\pandas\io\excel\_base.py", line 457, in read_excel
    return func(*args, **kwargs)
  File "C:\Users\n.normand\Anaconda3\lib\site-packages\pandas\util\_decorators.py", line 311, in wrapper
    vcv_import = pd.read_excel(vcv_fpath)
  File "u:\test_folder\db_var\python_module\toolbox.py", line 121, in simulate_iVaR_fromfile
    ret = func(*args)
  File "C:\Users\n.normand\Anaconda3\lib\site-packages\xlwings\udfs.py", line 547, in call_udf
    res = call_udf(script, fname, args, this_workbook, FromVariant(caller))
  File "C:\Users\n.normand\Anaconda3\lib\site-packages\xlwings\server.py", line 230, in CallUDF
    return func(*args)
  File "C:\Users\n.normand\Anaconda3\lib\site-packages\win32com\server\policy.py", line 637, in _invokeex_
    return S_OK, -1, self._invokeex_(dispid, lcid, wFlags, args, None, None)
  File "C:\Users\n.normand\Anaconda3\lib\site-packages\win32com\server\policy.py", line 308, in _invoke_
    return self._invoke_(dispid, lcid, wFlags, args)
  File "C:\Users\n.normand\Anaconda3\lib\site-packages\win32com\server\policy.py", line 303, in _Invoke_</v>
      </c>
    </row>
    <row r="85" spans="1:6" ht="15.75" thickTop="1">
      <c r="F85" s="14">
        <f>+SUM(F3:F84)</f>
        <v>0</v>
      </c>
    </row>
  </sheetData>
  <autoFilter ref="A1:F85" xr:uid="{7DF9B66A-9511-4ABB-9E87-299FF43166FF}">
    <filterColumn colId="4">
      <filters blank="1">
        <filter val="-0.0020%"/>
        <filter val="-0.0152%"/>
        <filter val="-0.0568%"/>
        <filter val="-0.0691%"/>
        <filter val="0.7670%"/>
        <filter val="10.3494%"/>
        <filter val="-10.4745%"/>
        <filter val="11.8424%"/>
        <filter val="13.8101%"/>
        <filter val="-14.6546%"/>
        <filter val="2.3870%"/>
        <filter val="22.3904%"/>
        <filter val="29.9796%"/>
        <filter val="-4.9344%"/>
        <filter val="49.7097%"/>
        <filter val="5.6538%"/>
        <filter val="7.3113%"/>
        <filter val="-8.1292%"/>
        <filter val="-8.5607%"/>
        <filter val="-9.7753%"/>
      </filters>
    </filterColumn>
  </autoFilter>
  <conditionalFormatting sqref="E3:E84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8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Controls</vt:lpstr>
      <vt:lpstr>Weights</vt:lpstr>
      <vt:lpstr>PrePa</vt:lpstr>
    </vt:vector>
  </TitlesOfParts>
  <Company>Pexys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Normand</dc:creator>
  <cp:lastModifiedBy>Nicolas Normand</cp:lastModifiedBy>
  <dcterms:created xsi:type="dcterms:W3CDTF">2023-01-09T12:48:53Z</dcterms:created>
  <dcterms:modified xsi:type="dcterms:W3CDTF">2023-01-11T17:38:23Z</dcterms:modified>
</cp:coreProperties>
</file>